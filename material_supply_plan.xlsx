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erial_supply_plan" sheetId="1" state="visible" r:id="rId1"/>
    <sheet xmlns:r="http://schemas.openxmlformats.org/officeDocument/2006/relationships" name="summary_by_risk" sheetId="2" state="visible" r:id="rId2"/>
    <sheet xmlns:r="http://schemas.openxmlformats.org/officeDocument/2006/relationships" name="summary_by_supplier" sheetId="3" state="visible" r:id="rId3"/>
    <sheet xmlns:r="http://schemas.openxmlformats.org/officeDocument/2006/relationships" name="weekly_supply_view" sheetId="4" state="visible" r:id="rId4"/>
  </sheets>
  <definedNames>
    <definedName name="_xlnm._FilterDatabase" localSheetId="3" hidden="1">'weekly_supply_view'!$A$1:$R$61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:SS"/>
    <numFmt numFmtId="166" formatCode="yyyy-mm-dd"/>
  </numFmts>
  <fonts count="6">
    <font>
      <name val="Calibri"/>
      <family val="2"/>
      <color theme="1"/>
      <sz val="11"/>
      <scheme val="minor"/>
    </font>
    <font>
      <b val="1"/>
    </font>
    <font>
      <color rgb="009C0006"/>
    </font>
    <font>
      <color rgb="009C6500"/>
    </font>
    <font>
      <color rgb="00006100"/>
    </font>
    <font>
      <color rgb="00000000"/>
    </font>
  </fonts>
  <fills count="10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6" fontId="0" fillId="0" borderId="0" pivotButton="0" quotePrefix="0" xfId="0"/>
    <xf numFmtId="3" fontId="0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1" fillId="6" borderId="1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1" fillId="0" borderId="2" pivotButton="0" quotePrefix="0" xfId="0"/>
    <xf numFmtId="3" fontId="1" fillId="0" borderId="2" pivotButton="0" quotePrefix="0" xfId="0"/>
    <xf numFmtId="0" fontId="1" fillId="9" borderId="2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8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7" customWidth="1" min="3" max="3"/>
    <col width="15" customWidth="1" min="4" max="4"/>
    <col width="16" customWidth="1" min="5" max="5"/>
    <col width="15" customWidth="1" min="6" max="6"/>
    <col width="16" customWidth="1" min="7" max="7"/>
    <col width="14" customWidth="1" min="8" max="8"/>
    <col width="15" customWidth="1" min="9" max="9"/>
    <col width="14" customWidth="1" min="10" max="10"/>
    <col width="15" customWidth="1" min="11" max="11"/>
    <col width="14" customWidth="1" min="12" max="12"/>
    <col width="17" customWidth="1" min="13" max="13"/>
    <col width="12" customWidth="1" min="14" max="14"/>
    <col width="15" customWidth="1" min="15" max="15"/>
    <col width="12" customWidth="1" min="16" max="16"/>
    <col width="16" customWidth="1" min="17" max="17"/>
    <col width="6" customWidth="1" min="18" max="18"/>
    <col width="12" customWidth="1" min="19" max="19"/>
    <col width="23" customWidth="1" min="20" max="20"/>
    <col width="26" customWidth="1" min="21" max="21"/>
    <col width="21" customWidth="1" min="22" max="22"/>
    <col width="12" customWidth="1" min="23" max="23"/>
  </cols>
  <sheetData>
    <row r="1">
      <c r="A1" s="1" t="inlineStr">
        <is>
          <t>plan_week</t>
        </is>
      </c>
      <c r="B1" s="1" t="inlineStr">
        <is>
          <t>plan_month</t>
        </is>
      </c>
      <c r="C1" s="1" t="inlineStr">
        <is>
          <t>week_start_date</t>
        </is>
      </c>
      <c r="D1" s="1" t="inlineStr">
        <is>
          <t>required_date</t>
        </is>
      </c>
      <c r="E1" s="1" t="inlineStr">
        <is>
          <t>month_end_date</t>
        </is>
      </c>
      <c r="F1" s="1" t="inlineStr">
        <is>
          <t>material_code</t>
        </is>
      </c>
      <c r="G1" s="1" t="inlineStr">
        <is>
          <t>material_name</t>
        </is>
      </c>
      <c r="H1" s="1" t="inlineStr">
        <is>
          <t>required_qty</t>
        </is>
      </c>
      <c r="I1" s="1" t="inlineStr">
        <is>
          <t>current_stock</t>
        </is>
      </c>
      <c r="J1" s="1" t="inlineStr">
        <is>
          <t>incoming_qty</t>
        </is>
      </c>
      <c r="K1" s="1" t="inlineStr">
        <is>
          <t>available_qty</t>
        </is>
      </c>
      <c r="L1" s="1" t="inlineStr">
        <is>
          <t>shortage_qty</t>
        </is>
      </c>
      <c r="M1" s="1" t="inlineStr">
        <is>
          <t>shortage_amount</t>
        </is>
      </c>
      <c r="N1" s="1" t="inlineStr">
        <is>
          <t>excess_qty</t>
        </is>
      </c>
      <c r="O1" s="1" t="inlineStr">
        <is>
          <t>excess_amount</t>
        </is>
      </c>
      <c r="P1" s="1" t="inlineStr">
        <is>
          <t>supplier</t>
        </is>
      </c>
      <c r="Q1" s="1" t="inlineStr">
        <is>
          <t>lead_time_days</t>
        </is>
      </c>
      <c r="R1" s="1" t="inlineStr">
        <is>
          <t>moq</t>
        </is>
      </c>
      <c r="S1" s="1" t="inlineStr">
        <is>
          <t>unit_price</t>
        </is>
      </c>
      <c r="T1" s="1" t="inlineStr">
        <is>
          <t>recommended_order_qty</t>
        </is>
      </c>
      <c r="U1" s="1" t="inlineStr">
        <is>
          <t>recommended_order_amount</t>
        </is>
      </c>
      <c r="V1" s="1" t="inlineStr">
        <is>
          <t>order_required_date</t>
        </is>
      </c>
      <c r="W1" s="1" t="inlineStr">
        <is>
          <t>risk_level</t>
        </is>
      </c>
    </row>
    <row r="2">
      <c r="A2" t="inlineStr">
        <is>
          <t>2026-W37</t>
        </is>
      </c>
      <c r="B2" t="inlineStr">
        <is>
          <t>2026-09</t>
        </is>
      </c>
      <c r="C2" s="2" t="n">
        <v>46272</v>
      </c>
      <c r="D2" s="2" t="n">
        <v>46278</v>
      </c>
      <c r="E2" s="2" t="n">
        <v>46295</v>
      </c>
      <c r="F2" t="inlineStr">
        <is>
          <t>MAT-002</t>
        </is>
      </c>
      <c r="G2" t="inlineStr">
        <is>
          <t>DRAM Chip</t>
        </is>
      </c>
      <c r="H2" t="n">
        <v>2600</v>
      </c>
      <c r="I2" t="n">
        <v>500</v>
      </c>
      <c r="J2" t="n">
        <v>350</v>
      </c>
      <c r="K2" t="n">
        <v>850</v>
      </c>
      <c r="L2" t="n">
        <v>1750</v>
      </c>
      <c r="M2" s="3" t="n">
        <v>14000000</v>
      </c>
      <c r="N2" t="n">
        <v>0</v>
      </c>
      <c r="O2" s="3" t="n">
        <v>0</v>
      </c>
      <c r="P2" t="inlineStr">
        <is>
          <t>Supplier B</t>
        </is>
      </c>
      <c r="Q2" t="n">
        <v>45</v>
      </c>
      <c r="R2" t="n">
        <v>200</v>
      </c>
      <c r="S2" t="n">
        <v>8000</v>
      </c>
      <c r="T2" t="n">
        <v>1800</v>
      </c>
      <c r="U2" s="3" t="n">
        <v>14400000</v>
      </c>
      <c r="V2" s="2" t="n">
        <v>46233</v>
      </c>
      <c r="W2" s="4" t="inlineStr">
        <is>
          <t>High</t>
        </is>
      </c>
    </row>
    <row r="3">
      <c r="A3" t="inlineStr">
        <is>
          <t>2026-W35</t>
        </is>
      </c>
      <c r="B3" t="inlineStr">
        <is>
          <t>2026-08</t>
        </is>
      </c>
      <c r="C3" s="2" t="n">
        <v>46258</v>
      </c>
      <c r="D3" s="2" t="n">
        <v>46264</v>
      </c>
      <c r="E3" s="2" t="n">
        <v>46265</v>
      </c>
      <c r="F3" t="inlineStr">
        <is>
          <t>MAT-002</t>
        </is>
      </c>
      <c r="G3" t="inlineStr">
        <is>
          <t>DRAM Chip</t>
        </is>
      </c>
      <c r="H3" t="n">
        <v>2360</v>
      </c>
      <c r="I3" t="n">
        <v>500</v>
      </c>
      <c r="J3" t="n">
        <v>350</v>
      </c>
      <c r="K3" t="n">
        <v>850</v>
      </c>
      <c r="L3" t="n">
        <v>1510</v>
      </c>
      <c r="M3" s="3" t="n">
        <v>12080000</v>
      </c>
      <c r="N3" t="n">
        <v>0</v>
      </c>
      <c r="O3" s="3" t="n">
        <v>0</v>
      </c>
      <c r="P3" t="inlineStr">
        <is>
          <t>Supplier B</t>
        </is>
      </c>
      <c r="Q3" t="n">
        <v>45</v>
      </c>
      <c r="R3" t="n">
        <v>200</v>
      </c>
      <c r="S3" t="n">
        <v>8000</v>
      </c>
      <c r="T3" t="n">
        <v>1600</v>
      </c>
      <c r="U3" s="3" t="n">
        <v>12800000</v>
      </c>
      <c r="V3" s="2" t="n">
        <v>46219</v>
      </c>
      <c r="W3" s="4" t="inlineStr">
        <is>
          <t>High</t>
        </is>
      </c>
    </row>
    <row r="4">
      <c r="A4" t="inlineStr">
        <is>
          <t>2026-W31</t>
        </is>
      </c>
      <c r="B4" t="inlineStr">
        <is>
          <t>2026-08</t>
        </is>
      </c>
      <c r="C4" s="2" t="n">
        <v>46230</v>
      </c>
      <c r="D4" s="2" t="n">
        <v>46236</v>
      </c>
      <c r="E4" s="2" t="n">
        <v>46265</v>
      </c>
      <c r="F4" t="inlineStr">
        <is>
          <t>MAT-002</t>
        </is>
      </c>
      <c r="G4" t="inlineStr">
        <is>
          <t>DRAM Chip</t>
        </is>
      </c>
      <c r="H4" t="n">
        <v>2130</v>
      </c>
      <c r="I4" t="n">
        <v>500</v>
      </c>
      <c r="J4" t="n">
        <v>350</v>
      </c>
      <c r="K4" t="n">
        <v>850</v>
      </c>
      <c r="L4" t="n">
        <v>1280</v>
      </c>
      <c r="M4" s="3" t="n">
        <v>10240000</v>
      </c>
      <c r="N4" t="n">
        <v>0</v>
      </c>
      <c r="O4" s="3" t="n">
        <v>0</v>
      </c>
      <c r="P4" t="inlineStr">
        <is>
          <t>Supplier B</t>
        </is>
      </c>
      <c r="Q4" t="n">
        <v>45</v>
      </c>
      <c r="R4" t="n">
        <v>200</v>
      </c>
      <c r="S4" t="n">
        <v>8000</v>
      </c>
      <c r="T4" t="n">
        <v>1400</v>
      </c>
      <c r="U4" s="3" t="n">
        <v>11200000</v>
      </c>
      <c r="V4" s="2" t="n">
        <v>46191</v>
      </c>
      <c r="W4" s="4" t="inlineStr">
        <is>
          <t>High</t>
        </is>
      </c>
    </row>
    <row r="5">
      <c r="A5" t="inlineStr">
        <is>
          <t>2026-W33</t>
        </is>
      </c>
      <c r="B5" t="inlineStr">
        <is>
          <t>2026-08</t>
        </is>
      </c>
      <c r="C5" s="2" t="n">
        <v>46244</v>
      </c>
      <c r="D5" s="2" t="n">
        <v>46250</v>
      </c>
      <c r="E5" s="2" t="n">
        <v>46265</v>
      </c>
      <c r="F5" t="inlineStr">
        <is>
          <t>MAT-002</t>
        </is>
      </c>
      <c r="G5" t="inlineStr">
        <is>
          <t>DRAM Chip</t>
        </is>
      </c>
      <c r="H5" t="n">
        <v>2080</v>
      </c>
      <c r="I5" t="n">
        <v>500</v>
      </c>
      <c r="J5" t="n">
        <v>350</v>
      </c>
      <c r="K5" t="n">
        <v>850</v>
      </c>
      <c r="L5" t="n">
        <v>1230</v>
      </c>
      <c r="M5" s="3" t="n">
        <v>9840000</v>
      </c>
      <c r="N5" t="n">
        <v>0</v>
      </c>
      <c r="O5" s="3" t="n">
        <v>0</v>
      </c>
      <c r="P5" t="inlineStr">
        <is>
          <t>Supplier B</t>
        </is>
      </c>
      <c r="Q5" t="n">
        <v>45</v>
      </c>
      <c r="R5" t="n">
        <v>200</v>
      </c>
      <c r="S5" t="n">
        <v>8000</v>
      </c>
      <c r="T5" t="n">
        <v>1400</v>
      </c>
      <c r="U5" s="3" t="n">
        <v>11200000</v>
      </c>
      <c r="V5" s="2" t="n">
        <v>46205</v>
      </c>
      <c r="W5" s="4" t="inlineStr">
        <is>
          <t>High</t>
        </is>
      </c>
    </row>
    <row r="6">
      <c r="A6" t="inlineStr">
        <is>
          <t>2026-W36</t>
        </is>
      </c>
      <c r="B6" t="inlineStr">
        <is>
          <t>2026-09</t>
        </is>
      </c>
      <c r="C6" s="2" t="n">
        <v>46265</v>
      </c>
      <c r="D6" s="2" t="n">
        <v>46271</v>
      </c>
      <c r="E6" s="2" t="n">
        <v>46295</v>
      </c>
      <c r="F6" t="inlineStr">
        <is>
          <t>MAT-002</t>
        </is>
      </c>
      <c r="G6" t="inlineStr">
        <is>
          <t>DRAM Chip</t>
        </is>
      </c>
      <c r="H6" t="n">
        <v>2050</v>
      </c>
      <c r="I6" t="n">
        <v>500</v>
      </c>
      <c r="J6" t="n">
        <v>350</v>
      </c>
      <c r="K6" t="n">
        <v>850</v>
      </c>
      <c r="L6" t="n">
        <v>1200</v>
      </c>
      <c r="M6" s="3" t="n">
        <v>9600000</v>
      </c>
      <c r="N6" t="n">
        <v>0</v>
      </c>
      <c r="O6" s="3" t="n">
        <v>0</v>
      </c>
      <c r="P6" t="inlineStr">
        <is>
          <t>Supplier B</t>
        </is>
      </c>
      <c r="Q6" t="n">
        <v>45</v>
      </c>
      <c r="R6" t="n">
        <v>200</v>
      </c>
      <c r="S6" t="n">
        <v>8000</v>
      </c>
      <c r="T6" t="n">
        <v>1200</v>
      </c>
      <c r="U6" s="3" t="n">
        <v>9600000</v>
      </c>
      <c r="V6" s="2" t="n">
        <v>46226</v>
      </c>
      <c r="W6" s="4" t="inlineStr">
        <is>
          <t>High</t>
        </is>
      </c>
    </row>
    <row r="7">
      <c r="A7" t="inlineStr">
        <is>
          <t>2026-W29</t>
        </is>
      </c>
      <c r="B7" t="inlineStr">
        <is>
          <t>2026-07</t>
        </is>
      </c>
      <c r="C7" s="2" t="n">
        <v>46216</v>
      </c>
      <c r="D7" s="2" t="n">
        <v>46222</v>
      </c>
      <c r="E7" s="2" t="n">
        <v>46234</v>
      </c>
      <c r="F7" t="inlineStr">
        <is>
          <t>MAT-002</t>
        </is>
      </c>
      <c r="G7" t="inlineStr">
        <is>
          <t>DRAM Chip</t>
        </is>
      </c>
      <c r="H7" t="n">
        <v>1840</v>
      </c>
      <c r="I7" t="n">
        <v>500</v>
      </c>
      <c r="J7" t="n">
        <v>350</v>
      </c>
      <c r="K7" t="n">
        <v>850</v>
      </c>
      <c r="L7" t="n">
        <v>990</v>
      </c>
      <c r="M7" s="3" t="n">
        <v>7920000</v>
      </c>
      <c r="N7" t="n">
        <v>0</v>
      </c>
      <c r="O7" s="3" t="n">
        <v>0</v>
      </c>
      <c r="P7" t="inlineStr">
        <is>
          <t>Supplier B</t>
        </is>
      </c>
      <c r="Q7" t="n">
        <v>45</v>
      </c>
      <c r="R7" t="n">
        <v>200</v>
      </c>
      <c r="S7" t="n">
        <v>8000</v>
      </c>
      <c r="T7" t="n">
        <v>1000</v>
      </c>
      <c r="U7" s="3" t="n">
        <v>8000000</v>
      </c>
      <c r="V7" s="2" t="n">
        <v>46177</v>
      </c>
      <c r="W7" s="4" t="inlineStr">
        <is>
          <t>High</t>
        </is>
      </c>
    </row>
    <row r="8">
      <c r="A8" t="inlineStr">
        <is>
          <t>2026-W38</t>
        </is>
      </c>
      <c r="B8" t="inlineStr">
        <is>
          <t>2026-09</t>
        </is>
      </c>
      <c r="C8" s="2" t="n">
        <v>46279</v>
      </c>
      <c r="D8" s="2" t="n">
        <v>46285</v>
      </c>
      <c r="E8" s="2" t="n">
        <v>46295</v>
      </c>
      <c r="F8" t="inlineStr">
        <is>
          <t>MAT-005</t>
        </is>
      </c>
      <c r="G8" t="inlineStr">
        <is>
          <t>NAND Flash</t>
        </is>
      </c>
      <c r="H8" t="n">
        <v>1280</v>
      </c>
      <c r="I8" t="n">
        <v>400</v>
      </c>
      <c r="J8" t="n">
        <v>300</v>
      </c>
      <c r="K8" t="n">
        <v>700</v>
      </c>
      <c r="L8" t="n">
        <v>580</v>
      </c>
      <c r="M8" s="3" t="n">
        <v>6960000</v>
      </c>
      <c r="N8" t="n">
        <v>0</v>
      </c>
      <c r="O8" s="3" t="n">
        <v>0</v>
      </c>
      <c r="P8" t="inlineStr">
        <is>
          <t>Supplier D</t>
        </is>
      </c>
      <c r="Q8" t="n">
        <v>50</v>
      </c>
      <c r="R8" t="n">
        <v>200</v>
      </c>
      <c r="S8" t="n">
        <v>12000</v>
      </c>
      <c r="T8" t="n">
        <v>600</v>
      </c>
      <c r="U8" s="3" t="n">
        <v>7200000</v>
      </c>
      <c r="V8" s="2" t="n">
        <v>46235</v>
      </c>
      <c r="W8" s="4" t="inlineStr">
        <is>
          <t>High</t>
        </is>
      </c>
    </row>
    <row r="9">
      <c r="A9" t="inlineStr">
        <is>
          <t>2026-W28</t>
        </is>
      </c>
      <c r="B9" t="inlineStr">
        <is>
          <t>2026-07</t>
        </is>
      </c>
      <c r="C9" s="2" t="n">
        <v>46209</v>
      </c>
      <c r="D9" s="2" t="n">
        <v>46215</v>
      </c>
      <c r="E9" s="2" t="n">
        <v>46234</v>
      </c>
      <c r="F9" t="inlineStr">
        <is>
          <t>MAT-002</t>
        </is>
      </c>
      <c r="G9" t="inlineStr">
        <is>
          <t>DRAM Chip</t>
        </is>
      </c>
      <c r="H9" t="n">
        <v>1700</v>
      </c>
      <c r="I9" t="n">
        <v>500</v>
      </c>
      <c r="J9" t="n">
        <v>350</v>
      </c>
      <c r="K9" t="n">
        <v>850</v>
      </c>
      <c r="L9" t="n">
        <v>850</v>
      </c>
      <c r="M9" s="3" t="n">
        <v>6800000</v>
      </c>
      <c r="N9" t="n">
        <v>0</v>
      </c>
      <c r="O9" s="3" t="n">
        <v>0</v>
      </c>
      <c r="P9" t="inlineStr">
        <is>
          <t>Supplier B</t>
        </is>
      </c>
      <c r="Q9" t="n">
        <v>45</v>
      </c>
      <c r="R9" t="n">
        <v>200</v>
      </c>
      <c r="S9" t="n">
        <v>8000</v>
      </c>
      <c r="T9" t="n">
        <v>1000</v>
      </c>
      <c r="U9" s="3" t="n">
        <v>8000000</v>
      </c>
      <c r="V9" s="2" t="n">
        <v>46170</v>
      </c>
      <c r="W9" s="4" t="inlineStr">
        <is>
          <t>High</t>
        </is>
      </c>
    </row>
    <row r="10">
      <c r="A10" t="inlineStr">
        <is>
          <t>2026-W32</t>
        </is>
      </c>
      <c r="B10" t="inlineStr">
        <is>
          <t>2026-08</t>
        </is>
      </c>
      <c r="C10" s="2" t="n">
        <v>46237</v>
      </c>
      <c r="D10" s="2" t="n">
        <v>46243</v>
      </c>
      <c r="E10" s="2" t="n">
        <v>46265</v>
      </c>
      <c r="F10" t="inlineStr">
        <is>
          <t>MAT-002</t>
        </is>
      </c>
      <c r="G10" t="inlineStr">
        <is>
          <t>DRAM Chip</t>
        </is>
      </c>
      <c r="H10" t="n">
        <v>1680</v>
      </c>
      <c r="I10" t="n">
        <v>500</v>
      </c>
      <c r="J10" t="n">
        <v>350</v>
      </c>
      <c r="K10" t="n">
        <v>850</v>
      </c>
      <c r="L10" t="n">
        <v>830</v>
      </c>
      <c r="M10" s="3" t="n">
        <v>6640000</v>
      </c>
      <c r="N10" t="n">
        <v>0</v>
      </c>
      <c r="O10" s="3" t="n">
        <v>0</v>
      </c>
      <c r="P10" t="inlineStr">
        <is>
          <t>Supplier B</t>
        </is>
      </c>
      <c r="Q10" t="n">
        <v>45</v>
      </c>
      <c r="R10" t="n">
        <v>200</v>
      </c>
      <c r="S10" t="n">
        <v>8000</v>
      </c>
      <c r="T10" t="n">
        <v>1000</v>
      </c>
      <c r="U10" s="3" t="n">
        <v>8000000</v>
      </c>
      <c r="V10" s="2" t="n">
        <v>46198</v>
      </c>
      <c r="W10" s="4" t="inlineStr">
        <is>
          <t>High</t>
        </is>
      </c>
    </row>
    <row r="11">
      <c r="A11" t="inlineStr">
        <is>
          <t>2026-W27</t>
        </is>
      </c>
      <c r="B11" t="inlineStr">
        <is>
          <t>2026-07</t>
        </is>
      </c>
      <c r="C11" s="2" t="n">
        <v>46202</v>
      </c>
      <c r="D11" s="2" t="n">
        <v>46208</v>
      </c>
      <c r="E11" s="2" t="n">
        <v>46234</v>
      </c>
      <c r="F11" t="inlineStr">
        <is>
          <t>MAT-002</t>
        </is>
      </c>
      <c r="G11" t="inlineStr">
        <is>
          <t>DRAM Chip</t>
        </is>
      </c>
      <c r="H11" t="n">
        <v>1600</v>
      </c>
      <c r="I11" t="n">
        <v>500</v>
      </c>
      <c r="J11" t="n">
        <v>350</v>
      </c>
      <c r="K11" t="n">
        <v>850</v>
      </c>
      <c r="L11" t="n">
        <v>750</v>
      </c>
      <c r="M11" s="3" t="n">
        <v>6000000</v>
      </c>
      <c r="N11" t="n">
        <v>0</v>
      </c>
      <c r="O11" s="3" t="n">
        <v>0</v>
      </c>
      <c r="P11" t="inlineStr">
        <is>
          <t>Supplier B</t>
        </is>
      </c>
      <c r="Q11" t="n">
        <v>45</v>
      </c>
      <c r="R11" t="n">
        <v>200</v>
      </c>
      <c r="S11" t="n">
        <v>8000</v>
      </c>
      <c r="T11" t="n">
        <v>800</v>
      </c>
      <c r="U11" s="3" t="n">
        <v>6400000</v>
      </c>
      <c r="V11" s="2" t="n">
        <v>46163</v>
      </c>
      <c r="W11" s="4" t="inlineStr">
        <is>
          <t>High</t>
        </is>
      </c>
    </row>
    <row r="12">
      <c r="A12" t="inlineStr">
        <is>
          <t>2026-W36</t>
        </is>
      </c>
      <c r="B12" t="inlineStr">
        <is>
          <t>2026-09</t>
        </is>
      </c>
      <c r="C12" s="2" t="n">
        <v>46265</v>
      </c>
      <c r="D12" s="2" t="n">
        <v>46271</v>
      </c>
      <c r="E12" s="2" t="n">
        <v>46295</v>
      </c>
      <c r="F12" t="inlineStr">
        <is>
          <t>MAT-005</t>
        </is>
      </c>
      <c r="G12" t="inlineStr">
        <is>
          <t>NAND Flash</t>
        </is>
      </c>
      <c r="H12" t="n">
        <v>1200</v>
      </c>
      <c r="I12" t="n">
        <v>400</v>
      </c>
      <c r="J12" t="n">
        <v>300</v>
      </c>
      <c r="K12" t="n">
        <v>700</v>
      </c>
      <c r="L12" t="n">
        <v>500</v>
      </c>
      <c r="M12" s="3" t="n">
        <v>6000000</v>
      </c>
      <c r="N12" t="n">
        <v>0</v>
      </c>
      <c r="O12" s="3" t="n">
        <v>0</v>
      </c>
      <c r="P12" t="inlineStr">
        <is>
          <t>Supplier D</t>
        </is>
      </c>
      <c r="Q12" t="n">
        <v>50</v>
      </c>
      <c r="R12" t="n">
        <v>200</v>
      </c>
      <c r="S12" t="n">
        <v>12000</v>
      </c>
      <c r="T12" t="n">
        <v>600</v>
      </c>
      <c r="U12" s="3" t="n">
        <v>7200000</v>
      </c>
      <c r="V12" s="2" t="n">
        <v>46221</v>
      </c>
      <c r="W12" s="4" t="inlineStr">
        <is>
          <t>High</t>
        </is>
      </c>
    </row>
    <row r="13">
      <c r="A13" t="inlineStr">
        <is>
          <t>2026-W34</t>
        </is>
      </c>
      <c r="B13" t="inlineStr">
        <is>
          <t>2026-08</t>
        </is>
      </c>
      <c r="C13" s="2" t="n">
        <v>46251</v>
      </c>
      <c r="D13" s="2" t="n">
        <v>46257</v>
      </c>
      <c r="E13" s="2" t="n">
        <v>46265</v>
      </c>
      <c r="F13" t="inlineStr">
        <is>
          <t>MAT-005</t>
        </is>
      </c>
      <c r="G13" t="inlineStr">
        <is>
          <t>NAND Flash</t>
        </is>
      </c>
      <c r="H13" t="n">
        <v>1120</v>
      </c>
      <c r="I13" t="n">
        <v>400</v>
      </c>
      <c r="J13" t="n">
        <v>300</v>
      </c>
      <c r="K13" t="n">
        <v>700</v>
      </c>
      <c r="L13" t="n">
        <v>420</v>
      </c>
      <c r="M13" s="3" t="n">
        <v>5040000</v>
      </c>
      <c r="N13" t="n">
        <v>0</v>
      </c>
      <c r="O13" s="3" t="n">
        <v>0</v>
      </c>
      <c r="P13" t="inlineStr">
        <is>
          <t>Supplier D</t>
        </is>
      </c>
      <c r="Q13" t="n">
        <v>50</v>
      </c>
      <c r="R13" t="n">
        <v>200</v>
      </c>
      <c r="S13" t="n">
        <v>12000</v>
      </c>
      <c r="T13" t="n">
        <v>600</v>
      </c>
      <c r="U13" s="3" t="n">
        <v>7200000</v>
      </c>
      <c r="V13" s="2" t="n">
        <v>46207</v>
      </c>
      <c r="W13" s="4" t="inlineStr">
        <is>
          <t>High</t>
        </is>
      </c>
    </row>
    <row r="14">
      <c r="A14" t="inlineStr">
        <is>
          <t>2026-W32</t>
        </is>
      </c>
      <c r="B14" t="inlineStr">
        <is>
          <t>2026-08</t>
        </is>
      </c>
      <c r="C14" s="2" t="n">
        <v>46237</v>
      </c>
      <c r="D14" s="2" t="n">
        <v>46243</v>
      </c>
      <c r="E14" s="2" t="n">
        <v>46265</v>
      </c>
      <c r="F14" t="inlineStr">
        <is>
          <t>MAT-005</t>
        </is>
      </c>
      <c r="G14" t="inlineStr">
        <is>
          <t>NAND Flash</t>
        </is>
      </c>
      <c r="H14" t="n">
        <v>1040</v>
      </c>
      <c r="I14" t="n">
        <v>400</v>
      </c>
      <c r="J14" t="n">
        <v>300</v>
      </c>
      <c r="K14" t="n">
        <v>700</v>
      </c>
      <c r="L14" t="n">
        <v>340</v>
      </c>
      <c r="M14" s="3" t="n">
        <v>4080000</v>
      </c>
      <c r="N14" t="n">
        <v>0</v>
      </c>
      <c r="O14" s="3" t="n">
        <v>0</v>
      </c>
      <c r="P14" t="inlineStr">
        <is>
          <t>Supplier D</t>
        </is>
      </c>
      <c r="Q14" t="n">
        <v>50</v>
      </c>
      <c r="R14" t="n">
        <v>200</v>
      </c>
      <c r="S14" t="n">
        <v>12000</v>
      </c>
      <c r="T14" t="n">
        <v>400</v>
      </c>
      <c r="U14" s="3" t="n">
        <v>4800000</v>
      </c>
      <c r="V14" s="2" t="n">
        <v>46193</v>
      </c>
      <c r="W14" s="4" t="inlineStr">
        <is>
          <t>High</t>
        </is>
      </c>
    </row>
    <row r="15">
      <c r="A15" t="inlineStr">
        <is>
          <t>2026-W30</t>
        </is>
      </c>
      <c r="B15" t="inlineStr">
        <is>
          <t>2026-07</t>
        </is>
      </c>
      <c r="C15" s="2" t="n">
        <v>46223</v>
      </c>
      <c r="D15" s="2" t="n">
        <v>46229</v>
      </c>
      <c r="E15" s="2" t="n">
        <v>46234</v>
      </c>
      <c r="F15" t="inlineStr">
        <is>
          <t>MAT-016</t>
        </is>
      </c>
      <c r="G15" t="inlineStr">
        <is>
          <t>Automotive IC</t>
        </is>
      </c>
      <c r="H15" t="n">
        <v>150</v>
      </c>
      <c r="I15" t="n">
        <v>50</v>
      </c>
      <c r="J15" t="n">
        <v>0</v>
      </c>
      <c r="K15" t="n">
        <v>50</v>
      </c>
      <c r="L15" t="n">
        <v>100</v>
      </c>
      <c r="M15" s="3" t="n">
        <v>2500000</v>
      </c>
      <c r="N15" t="n">
        <v>0</v>
      </c>
      <c r="O15" s="3" t="n">
        <v>0</v>
      </c>
      <c r="P15" t="inlineStr">
        <is>
          <t>Supplier L</t>
        </is>
      </c>
      <c r="Q15" t="n">
        <v>80</v>
      </c>
      <c r="R15" t="n">
        <v>50</v>
      </c>
      <c r="S15" t="n">
        <v>25000</v>
      </c>
      <c r="T15" t="n">
        <v>100</v>
      </c>
      <c r="U15" s="3" t="n">
        <v>2500000</v>
      </c>
      <c r="V15" s="2" t="n">
        <v>46149</v>
      </c>
      <c r="W15" s="4" t="inlineStr">
        <is>
          <t>High</t>
        </is>
      </c>
    </row>
    <row r="16">
      <c r="A16" t="inlineStr">
        <is>
          <t>2026-W30</t>
        </is>
      </c>
      <c r="B16" t="inlineStr">
        <is>
          <t>2026-07</t>
        </is>
      </c>
      <c r="C16" s="2" t="n">
        <v>46223</v>
      </c>
      <c r="D16" s="2" t="n">
        <v>46229</v>
      </c>
      <c r="E16" s="2" t="n">
        <v>46234</v>
      </c>
      <c r="F16" t="inlineStr">
        <is>
          <t>MAT-005</t>
        </is>
      </c>
      <c r="G16" t="inlineStr">
        <is>
          <t>NAND Flash</t>
        </is>
      </c>
      <c r="H16" t="n">
        <v>880</v>
      </c>
      <c r="I16" t="n">
        <v>400</v>
      </c>
      <c r="J16" t="n">
        <v>300</v>
      </c>
      <c r="K16" t="n">
        <v>700</v>
      </c>
      <c r="L16" t="n">
        <v>180</v>
      </c>
      <c r="M16" s="3" t="n">
        <v>2160000</v>
      </c>
      <c r="N16" t="n">
        <v>0</v>
      </c>
      <c r="O16" s="3" t="n">
        <v>0</v>
      </c>
      <c r="P16" t="inlineStr">
        <is>
          <t>Supplier D</t>
        </is>
      </c>
      <c r="Q16" t="n">
        <v>50</v>
      </c>
      <c r="R16" t="n">
        <v>200</v>
      </c>
      <c r="S16" t="n">
        <v>12000</v>
      </c>
      <c r="T16" t="n">
        <v>200</v>
      </c>
      <c r="U16" s="3" t="n">
        <v>2400000</v>
      </c>
      <c r="V16" s="2" t="n">
        <v>46179</v>
      </c>
      <c r="W16" s="4" t="inlineStr">
        <is>
          <t>High</t>
        </is>
      </c>
    </row>
    <row r="17">
      <c r="A17" t="inlineStr">
        <is>
          <t>2026-W37</t>
        </is>
      </c>
      <c r="B17" t="inlineStr">
        <is>
          <t>2026-09</t>
        </is>
      </c>
      <c r="C17" s="2" t="n">
        <v>46272</v>
      </c>
      <c r="D17" s="2" t="n">
        <v>46278</v>
      </c>
      <c r="E17" s="2" t="n">
        <v>46295</v>
      </c>
      <c r="F17" t="inlineStr">
        <is>
          <t>MAT-004</t>
        </is>
      </c>
      <c r="G17" t="inlineStr">
        <is>
          <t>PKG Substrate</t>
        </is>
      </c>
      <c r="H17" t="n">
        <v>1330</v>
      </c>
      <c r="I17" t="n">
        <v>300</v>
      </c>
      <c r="J17" t="n">
        <v>500</v>
      </c>
      <c r="K17" t="n">
        <v>800</v>
      </c>
      <c r="L17" t="n">
        <v>530</v>
      </c>
      <c r="M17" s="3" t="n">
        <v>2120000</v>
      </c>
      <c r="N17" t="n">
        <v>0</v>
      </c>
      <c r="O17" s="3" t="n">
        <v>0</v>
      </c>
      <c r="P17" t="inlineStr">
        <is>
          <t>Supplier A</t>
        </is>
      </c>
      <c r="Q17" t="n">
        <v>60</v>
      </c>
      <c r="R17" t="n">
        <v>300</v>
      </c>
      <c r="S17" t="n">
        <v>4000</v>
      </c>
      <c r="T17" t="n">
        <v>600</v>
      </c>
      <c r="U17" s="3" t="n">
        <v>2400000</v>
      </c>
      <c r="V17" s="2" t="n">
        <v>46218</v>
      </c>
      <c r="W17" s="4" t="inlineStr">
        <is>
          <t>High</t>
        </is>
      </c>
    </row>
    <row r="18">
      <c r="A18" t="inlineStr">
        <is>
          <t>2026-W38</t>
        </is>
      </c>
      <c r="B18" t="inlineStr">
        <is>
          <t>2026-09</t>
        </is>
      </c>
      <c r="C18" s="2" t="n">
        <v>46279</v>
      </c>
      <c r="D18" s="2" t="n">
        <v>46285</v>
      </c>
      <c r="E18" s="2" t="n">
        <v>46295</v>
      </c>
      <c r="F18" t="inlineStr">
        <is>
          <t>MAT-016</t>
        </is>
      </c>
      <c r="G18" t="inlineStr">
        <is>
          <t>Automotive IC</t>
        </is>
      </c>
      <c r="H18" t="n">
        <v>230</v>
      </c>
      <c r="I18" t="n">
        <v>50</v>
      </c>
      <c r="J18" t="n">
        <v>100</v>
      </c>
      <c r="K18" t="n">
        <v>150</v>
      </c>
      <c r="L18" t="n">
        <v>80</v>
      </c>
      <c r="M18" s="3" t="n">
        <v>2000000</v>
      </c>
      <c r="N18" t="n">
        <v>0</v>
      </c>
      <c r="O18" s="3" t="n">
        <v>0</v>
      </c>
      <c r="P18" t="inlineStr">
        <is>
          <t>Supplier L</t>
        </is>
      </c>
      <c r="Q18" t="n">
        <v>80</v>
      </c>
      <c r="R18" t="n">
        <v>50</v>
      </c>
      <c r="S18" t="n">
        <v>25000</v>
      </c>
      <c r="T18" t="n">
        <v>100</v>
      </c>
      <c r="U18" s="3" t="n">
        <v>2500000</v>
      </c>
      <c r="V18" s="2" t="n">
        <v>46205</v>
      </c>
      <c r="W18" s="4" t="inlineStr">
        <is>
          <t>High</t>
        </is>
      </c>
    </row>
    <row r="19">
      <c r="A19" t="inlineStr">
        <is>
          <t>2026-W35</t>
        </is>
      </c>
      <c r="B19" t="inlineStr">
        <is>
          <t>2026-08</t>
        </is>
      </c>
      <c r="C19" s="2" t="n">
        <v>46258</v>
      </c>
      <c r="D19" s="2" t="n">
        <v>46264</v>
      </c>
      <c r="E19" s="2" t="n">
        <v>46265</v>
      </c>
      <c r="F19" t="inlineStr">
        <is>
          <t>MAT-004</t>
        </is>
      </c>
      <c r="G19" t="inlineStr">
        <is>
          <t>PKG Substrate</t>
        </is>
      </c>
      <c r="H19" t="n">
        <v>1250</v>
      </c>
      <c r="I19" t="n">
        <v>300</v>
      </c>
      <c r="J19" t="n">
        <v>500</v>
      </c>
      <c r="K19" t="n">
        <v>800</v>
      </c>
      <c r="L19" t="n">
        <v>450</v>
      </c>
      <c r="M19" s="3" t="n">
        <v>1800000</v>
      </c>
      <c r="N19" t="n">
        <v>0</v>
      </c>
      <c r="O19" s="3" t="n">
        <v>0</v>
      </c>
      <c r="P19" t="inlineStr">
        <is>
          <t>Supplier A</t>
        </is>
      </c>
      <c r="Q19" t="n">
        <v>60</v>
      </c>
      <c r="R19" t="n">
        <v>300</v>
      </c>
      <c r="S19" t="n">
        <v>4000</v>
      </c>
      <c r="T19" t="n">
        <v>600</v>
      </c>
      <c r="U19" s="3" t="n">
        <v>2400000</v>
      </c>
      <c r="V19" s="2" t="n">
        <v>46204</v>
      </c>
      <c r="W19" s="4" t="inlineStr">
        <is>
          <t>High</t>
        </is>
      </c>
    </row>
    <row r="20">
      <c r="A20" t="inlineStr">
        <is>
          <t>2026-W37</t>
        </is>
      </c>
      <c r="B20" t="inlineStr">
        <is>
          <t>2026-09</t>
        </is>
      </c>
      <c r="C20" s="2" t="n">
        <v>46272</v>
      </c>
      <c r="D20" s="2" t="n">
        <v>46278</v>
      </c>
      <c r="E20" s="2" t="n">
        <v>46295</v>
      </c>
      <c r="F20" t="inlineStr">
        <is>
          <t>MAT-020</t>
        </is>
      </c>
      <c r="G20" t="inlineStr">
        <is>
          <t>Battery Cell</t>
        </is>
      </c>
      <c r="H20" t="n">
        <v>500</v>
      </c>
      <c r="I20" t="n">
        <v>100</v>
      </c>
      <c r="J20" t="n">
        <v>200</v>
      </c>
      <c r="K20" t="n">
        <v>300</v>
      </c>
      <c r="L20" t="n">
        <v>200</v>
      </c>
      <c r="M20" s="3" t="n">
        <v>1800000</v>
      </c>
      <c r="N20" t="n">
        <v>0</v>
      </c>
      <c r="O20" s="3" t="n">
        <v>0</v>
      </c>
      <c r="P20" t="inlineStr">
        <is>
          <t>Supplier P</t>
        </is>
      </c>
      <c r="Q20" t="n">
        <v>50</v>
      </c>
      <c r="R20" t="n">
        <v>100</v>
      </c>
      <c r="S20" t="n">
        <v>9000</v>
      </c>
      <c r="T20" t="n">
        <v>200</v>
      </c>
      <c r="U20" s="3" t="n">
        <v>1800000</v>
      </c>
      <c r="V20" s="2" t="n">
        <v>46228</v>
      </c>
      <c r="W20" s="4" t="inlineStr">
        <is>
          <t>High</t>
        </is>
      </c>
    </row>
    <row r="21">
      <c r="A21" t="inlineStr">
        <is>
          <t>2026-W28</t>
        </is>
      </c>
      <c r="B21" t="inlineStr">
        <is>
          <t>2026-07</t>
        </is>
      </c>
      <c r="C21" s="2" t="n">
        <v>46209</v>
      </c>
      <c r="D21" s="2" t="n">
        <v>46215</v>
      </c>
      <c r="E21" s="2" t="n">
        <v>46234</v>
      </c>
      <c r="F21" t="inlineStr">
        <is>
          <t>MAT-016</t>
        </is>
      </c>
      <c r="G21" t="inlineStr">
        <is>
          <t>Automotive IC</t>
        </is>
      </c>
      <c r="H21" t="n">
        <v>120</v>
      </c>
      <c r="I21" t="n">
        <v>50</v>
      </c>
      <c r="J21" t="n">
        <v>0</v>
      </c>
      <c r="K21" t="n">
        <v>50</v>
      </c>
      <c r="L21" t="n">
        <v>70</v>
      </c>
      <c r="M21" s="3" t="n">
        <v>1750000</v>
      </c>
      <c r="N21" t="n">
        <v>0</v>
      </c>
      <c r="O21" s="3" t="n">
        <v>0</v>
      </c>
      <c r="P21" t="inlineStr">
        <is>
          <t>Supplier L</t>
        </is>
      </c>
      <c r="Q21" t="n">
        <v>80</v>
      </c>
      <c r="R21" t="n">
        <v>50</v>
      </c>
      <c r="S21" t="n">
        <v>25000</v>
      </c>
      <c r="T21" t="n">
        <v>100</v>
      </c>
      <c r="U21" s="3" t="n">
        <v>2500000</v>
      </c>
      <c r="V21" s="2" t="n">
        <v>46135</v>
      </c>
      <c r="W21" s="4" t="inlineStr">
        <is>
          <t>High</t>
        </is>
      </c>
    </row>
    <row r="22">
      <c r="A22" t="inlineStr">
        <is>
          <t>2026-W36</t>
        </is>
      </c>
      <c r="B22" t="inlineStr">
        <is>
          <t>2026-09</t>
        </is>
      </c>
      <c r="C22" s="2" t="n">
        <v>46265</v>
      </c>
      <c r="D22" s="2" t="n">
        <v>46271</v>
      </c>
      <c r="E22" s="2" t="n">
        <v>46295</v>
      </c>
      <c r="F22" t="inlineStr">
        <is>
          <t>MAT-016</t>
        </is>
      </c>
      <c r="G22" t="inlineStr">
        <is>
          <t>Automotive IC</t>
        </is>
      </c>
      <c r="H22" t="n">
        <v>210</v>
      </c>
      <c r="I22" t="n">
        <v>50</v>
      </c>
      <c r="J22" t="n">
        <v>100</v>
      </c>
      <c r="K22" t="n">
        <v>150</v>
      </c>
      <c r="L22" t="n">
        <v>60</v>
      </c>
      <c r="M22" s="3" t="n">
        <v>1500000</v>
      </c>
      <c r="N22" t="n">
        <v>0</v>
      </c>
      <c r="O22" s="3" t="n">
        <v>0</v>
      </c>
      <c r="P22" t="inlineStr">
        <is>
          <t>Supplier L</t>
        </is>
      </c>
      <c r="Q22" t="n">
        <v>80</v>
      </c>
      <c r="R22" t="n">
        <v>50</v>
      </c>
      <c r="S22" t="n">
        <v>25000</v>
      </c>
      <c r="T22" t="n">
        <v>100</v>
      </c>
      <c r="U22" s="3" t="n">
        <v>2500000</v>
      </c>
      <c r="V22" s="2" t="n">
        <v>46191</v>
      </c>
      <c r="W22" s="4" t="inlineStr">
        <is>
          <t>High</t>
        </is>
      </c>
    </row>
    <row r="23">
      <c r="A23" t="inlineStr">
        <is>
          <t>2026-W33</t>
        </is>
      </c>
      <c r="B23" t="inlineStr">
        <is>
          <t>2026-08</t>
        </is>
      </c>
      <c r="C23" s="2" t="n">
        <v>46244</v>
      </c>
      <c r="D23" s="2" t="n">
        <v>46250</v>
      </c>
      <c r="E23" s="2" t="n">
        <v>46265</v>
      </c>
      <c r="F23" t="inlineStr">
        <is>
          <t>MAT-004</t>
        </is>
      </c>
      <c r="G23" t="inlineStr">
        <is>
          <t>PKG Substrate</t>
        </is>
      </c>
      <c r="H23" t="n">
        <v>1160</v>
      </c>
      <c r="I23" t="n">
        <v>300</v>
      </c>
      <c r="J23" t="n">
        <v>500</v>
      </c>
      <c r="K23" t="n">
        <v>800</v>
      </c>
      <c r="L23" t="n">
        <v>360</v>
      </c>
      <c r="M23" s="3" t="n">
        <v>1440000</v>
      </c>
      <c r="N23" t="n">
        <v>0</v>
      </c>
      <c r="O23" s="3" t="n">
        <v>0</v>
      </c>
      <c r="P23" t="inlineStr">
        <is>
          <t>Supplier A</t>
        </is>
      </c>
      <c r="Q23" t="n">
        <v>60</v>
      </c>
      <c r="R23" t="n">
        <v>300</v>
      </c>
      <c r="S23" t="n">
        <v>4000</v>
      </c>
      <c r="T23" t="n">
        <v>600</v>
      </c>
      <c r="U23" s="3" t="n">
        <v>2400000</v>
      </c>
      <c r="V23" s="2" t="n">
        <v>46190</v>
      </c>
      <c r="W23" s="4" t="inlineStr">
        <is>
          <t>High</t>
        </is>
      </c>
    </row>
    <row r="24">
      <c r="A24" t="inlineStr">
        <is>
          <t>2026-W35</t>
        </is>
      </c>
      <c r="B24" t="inlineStr">
        <is>
          <t>2026-08</t>
        </is>
      </c>
      <c r="C24" s="2" t="n">
        <v>46258</v>
      </c>
      <c r="D24" s="2" t="n">
        <v>46264</v>
      </c>
      <c r="E24" s="2" t="n">
        <v>46265</v>
      </c>
      <c r="F24" t="inlineStr">
        <is>
          <t>MAT-020</t>
        </is>
      </c>
      <c r="G24" t="inlineStr">
        <is>
          <t>Battery Cell</t>
        </is>
      </c>
      <c r="H24" t="n">
        <v>460</v>
      </c>
      <c r="I24" t="n">
        <v>100</v>
      </c>
      <c r="J24" t="n">
        <v>200</v>
      </c>
      <c r="K24" t="n">
        <v>300</v>
      </c>
      <c r="L24" t="n">
        <v>160</v>
      </c>
      <c r="M24" s="3" t="n">
        <v>1440000</v>
      </c>
      <c r="N24" t="n">
        <v>0</v>
      </c>
      <c r="O24" s="3" t="n">
        <v>0</v>
      </c>
      <c r="P24" t="inlineStr">
        <is>
          <t>Supplier P</t>
        </is>
      </c>
      <c r="Q24" t="n">
        <v>50</v>
      </c>
      <c r="R24" t="n">
        <v>100</v>
      </c>
      <c r="S24" t="n">
        <v>9000</v>
      </c>
      <c r="T24" t="n">
        <v>200</v>
      </c>
      <c r="U24" s="3" t="n">
        <v>1800000</v>
      </c>
      <c r="V24" s="2" t="n">
        <v>46214</v>
      </c>
      <c r="W24" s="4" t="inlineStr">
        <is>
          <t>High</t>
        </is>
      </c>
    </row>
    <row r="25">
      <c r="A25" t="inlineStr">
        <is>
          <t>2026-W31</t>
        </is>
      </c>
      <c r="B25" t="inlineStr">
        <is>
          <t>2026-08</t>
        </is>
      </c>
      <c r="C25" s="2" t="n">
        <v>46230</v>
      </c>
      <c r="D25" s="2" t="n">
        <v>46236</v>
      </c>
      <c r="E25" s="2" t="n">
        <v>46265</v>
      </c>
      <c r="F25" t="inlineStr">
        <is>
          <t>MAT-007</t>
        </is>
      </c>
      <c r="G25" t="inlineStr">
        <is>
          <t>Sensor IC</t>
        </is>
      </c>
      <c r="H25" t="n">
        <v>500</v>
      </c>
      <c r="I25" t="n">
        <v>100</v>
      </c>
      <c r="J25" t="n">
        <v>200</v>
      </c>
      <c r="K25" t="n">
        <v>300</v>
      </c>
      <c r="L25" t="n">
        <v>200</v>
      </c>
      <c r="M25" s="3" t="n">
        <v>1400000</v>
      </c>
      <c r="N25" t="n">
        <v>0</v>
      </c>
      <c r="O25" s="3" t="n">
        <v>0</v>
      </c>
      <c r="P25" t="inlineStr">
        <is>
          <t>Supplier F</t>
        </is>
      </c>
      <c r="Q25" t="n">
        <v>55</v>
      </c>
      <c r="R25" t="n">
        <v>100</v>
      </c>
      <c r="S25" t="n">
        <v>7000</v>
      </c>
      <c r="T25" t="n">
        <v>200</v>
      </c>
      <c r="U25" s="3" t="n">
        <v>1400000</v>
      </c>
      <c r="V25" s="2" t="n">
        <v>46181</v>
      </c>
      <c r="W25" s="4" t="inlineStr">
        <is>
          <t>High</t>
        </is>
      </c>
    </row>
    <row r="26">
      <c r="A26" t="inlineStr">
        <is>
          <t>2026-W37</t>
        </is>
      </c>
      <c r="B26" t="inlineStr">
        <is>
          <t>2026-09</t>
        </is>
      </c>
      <c r="C26" s="2" t="n">
        <v>46272</v>
      </c>
      <c r="D26" s="2" t="n">
        <v>46278</v>
      </c>
      <c r="E26" s="2" t="n">
        <v>46295</v>
      </c>
      <c r="F26" t="inlineStr">
        <is>
          <t>MAT-013</t>
        </is>
      </c>
      <c r="G26" t="inlineStr">
        <is>
          <t>FPCB</t>
        </is>
      </c>
      <c r="H26" t="n">
        <v>600</v>
      </c>
      <c r="I26" t="n">
        <v>100</v>
      </c>
      <c r="J26" t="n">
        <v>150</v>
      </c>
      <c r="K26" t="n">
        <v>250</v>
      </c>
      <c r="L26" t="n">
        <v>350</v>
      </c>
      <c r="M26" s="3" t="n">
        <v>1225000</v>
      </c>
      <c r="N26" t="n">
        <v>0</v>
      </c>
      <c r="O26" s="3" t="n">
        <v>0</v>
      </c>
      <c r="P26" t="inlineStr">
        <is>
          <t>Supplier I</t>
        </is>
      </c>
      <c r="Q26" t="n">
        <v>45</v>
      </c>
      <c r="R26" t="n">
        <v>100</v>
      </c>
      <c r="S26" t="n">
        <v>3500</v>
      </c>
      <c r="T26" t="n">
        <v>400</v>
      </c>
      <c r="U26" s="3" t="n">
        <v>1400000</v>
      </c>
      <c r="V26" s="2" t="n">
        <v>46233</v>
      </c>
      <c r="W26" s="4" t="inlineStr">
        <is>
          <t>High</t>
        </is>
      </c>
    </row>
    <row r="27">
      <c r="A27" t="inlineStr">
        <is>
          <t>2026-W38</t>
        </is>
      </c>
      <c r="B27" t="inlineStr">
        <is>
          <t>2026-09</t>
        </is>
      </c>
      <c r="C27" s="2" t="n">
        <v>46279</v>
      </c>
      <c r="D27" s="2" t="n">
        <v>46285</v>
      </c>
      <c r="E27" s="2" t="n">
        <v>46295</v>
      </c>
      <c r="F27" t="inlineStr">
        <is>
          <t>MAT-018</t>
        </is>
      </c>
      <c r="G27" t="inlineStr">
        <is>
          <t>RF Module</t>
        </is>
      </c>
      <c r="H27" t="n">
        <v>190</v>
      </c>
      <c r="I27" t="n">
        <v>80</v>
      </c>
      <c r="J27" t="n">
        <v>50</v>
      </c>
      <c r="K27" t="n">
        <v>130</v>
      </c>
      <c r="L27" t="n">
        <v>60</v>
      </c>
      <c r="M27" s="3" t="n">
        <v>1200000</v>
      </c>
      <c r="N27" t="n">
        <v>0</v>
      </c>
      <c r="O27" s="3" t="n">
        <v>0</v>
      </c>
      <c r="P27" t="inlineStr">
        <is>
          <t>Supplier N</t>
        </is>
      </c>
      <c r="Q27" t="n">
        <v>65</v>
      </c>
      <c r="R27" t="n">
        <v>50</v>
      </c>
      <c r="S27" t="n">
        <v>20000</v>
      </c>
      <c r="T27" t="n">
        <v>100</v>
      </c>
      <c r="U27" s="3" t="n">
        <v>2000000</v>
      </c>
      <c r="V27" s="2" t="n">
        <v>46220</v>
      </c>
      <c r="W27" s="4" t="inlineStr">
        <is>
          <t>High</t>
        </is>
      </c>
    </row>
    <row r="28">
      <c r="A28" t="inlineStr">
        <is>
          <t>2026-W35</t>
        </is>
      </c>
      <c r="B28" t="inlineStr">
        <is>
          <t>2026-08</t>
        </is>
      </c>
      <c r="C28" s="2" t="n">
        <v>46258</v>
      </c>
      <c r="D28" s="2" t="n">
        <v>46264</v>
      </c>
      <c r="E28" s="2" t="n">
        <v>46265</v>
      </c>
      <c r="F28" t="inlineStr">
        <is>
          <t>MAT-013</t>
        </is>
      </c>
      <c r="G28" t="inlineStr">
        <is>
          <t>FPCB</t>
        </is>
      </c>
      <c r="H28" t="n">
        <v>560</v>
      </c>
      <c r="I28" t="n">
        <v>100</v>
      </c>
      <c r="J28" t="n">
        <v>150</v>
      </c>
      <c r="K28" t="n">
        <v>250</v>
      </c>
      <c r="L28" t="n">
        <v>310</v>
      </c>
      <c r="M28" s="3" t="n">
        <v>1085000</v>
      </c>
      <c r="N28" t="n">
        <v>0</v>
      </c>
      <c r="O28" s="3" t="n">
        <v>0</v>
      </c>
      <c r="P28" t="inlineStr">
        <is>
          <t>Supplier I</t>
        </is>
      </c>
      <c r="Q28" t="n">
        <v>45</v>
      </c>
      <c r="R28" t="n">
        <v>100</v>
      </c>
      <c r="S28" t="n">
        <v>3500</v>
      </c>
      <c r="T28" t="n">
        <v>400</v>
      </c>
      <c r="U28" s="3" t="n">
        <v>1400000</v>
      </c>
      <c r="V28" s="2" t="n">
        <v>46219</v>
      </c>
      <c r="W28" s="4" t="inlineStr">
        <is>
          <t>High</t>
        </is>
      </c>
    </row>
    <row r="29">
      <c r="A29" t="inlineStr">
        <is>
          <t>2026-W29</t>
        </is>
      </c>
      <c r="B29" t="inlineStr">
        <is>
          <t>2026-07</t>
        </is>
      </c>
      <c r="C29" s="2" t="n">
        <v>46216</v>
      </c>
      <c r="D29" s="2" t="n">
        <v>46222</v>
      </c>
      <c r="E29" s="2" t="n">
        <v>46234</v>
      </c>
      <c r="F29" t="inlineStr">
        <is>
          <t>MAT-004</t>
        </is>
      </c>
      <c r="G29" t="inlineStr">
        <is>
          <t>PKG Substrate</t>
        </is>
      </c>
      <c r="H29" t="n">
        <v>1060</v>
      </c>
      <c r="I29" t="n">
        <v>300</v>
      </c>
      <c r="J29" t="n">
        <v>500</v>
      </c>
      <c r="K29" t="n">
        <v>800</v>
      </c>
      <c r="L29" t="n">
        <v>260</v>
      </c>
      <c r="M29" s="3" t="n">
        <v>1040000</v>
      </c>
      <c r="N29" t="n">
        <v>0</v>
      </c>
      <c r="O29" s="3" t="n">
        <v>0</v>
      </c>
      <c r="P29" t="inlineStr">
        <is>
          <t>Supplier A</t>
        </is>
      </c>
      <c r="Q29" t="n">
        <v>60</v>
      </c>
      <c r="R29" t="n">
        <v>300</v>
      </c>
      <c r="S29" t="n">
        <v>4000</v>
      </c>
      <c r="T29" t="n">
        <v>300</v>
      </c>
      <c r="U29" s="3" t="n">
        <v>1200000</v>
      </c>
      <c r="V29" s="2" t="n">
        <v>46162</v>
      </c>
      <c r="W29" s="4" t="inlineStr">
        <is>
          <t>High</t>
        </is>
      </c>
    </row>
    <row r="30">
      <c r="A30" t="inlineStr">
        <is>
          <t>2026-W27</t>
        </is>
      </c>
      <c r="B30" t="inlineStr">
        <is>
          <t>2026-07</t>
        </is>
      </c>
      <c r="C30" s="2" t="n">
        <v>46202</v>
      </c>
      <c r="D30" s="2" t="n">
        <v>46208</v>
      </c>
      <c r="E30" s="2" t="n">
        <v>46234</v>
      </c>
      <c r="F30" t="inlineStr">
        <is>
          <t>MAT-004</t>
        </is>
      </c>
      <c r="G30" t="inlineStr">
        <is>
          <t>PKG Substrate</t>
        </is>
      </c>
      <c r="H30" t="n">
        <v>1050</v>
      </c>
      <c r="I30" t="n">
        <v>300</v>
      </c>
      <c r="J30" t="n">
        <v>500</v>
      </c>
      <c r="K30" t="n">
        <v>800</v>
      </c>
      <c r="L30" t="n">
        <v>250</v>
      </c>
      <c r="M30" s="3" t="n">
        <v>1000000</v>
      </c>
      <c r="N30" t="n">
        <v>0</v>
      </c>
      <c r="O30" s="3" t="n">
        <v>0</v>
      </c>
      <c r="P30" t="inlineStr">
        <is>
          <t>Supplier A</t>
        </is>
      </c>
      <c r="Q30" t="n">
        <v>60</v>
      </c>
      <c r="R30" t="n">
        <v>300</v>
      </c>
      <c r="S30" t="n">
        <v>4000</v>
      </c>
      <c r="T30" t="n">
        <v>300</v>
      </c>
      <c r="U30" s="3" t="n">
        <v>1200000</v>
      </c>
      <c r="V30" s="2" t="n">
        <v>46148</v>
      </c>
      <c r="W30" s="4" t="inlineStr">
        <is>
          <t>High</t>
        </is>
      </c>
    </row>
    <row r="31">
      <c r="A31" t="inlineStr">
        <is>
          <t>2026-W34</t>
        </is>
      </c>
      <c r="B31" t="inlineStr">
        <is>
          <t>2026-08</t>
        </is>
      </c>
      <c r="C31" s="2" t="n">
        <v>46251</v>
      </c>
      <c r="D31" s="2" t="n">
        <v>46257</v>
      </c>
      <c r="E31" s="2" t="n">
        <v>46265</v>
      </c>
      <c r="F31" t="inlineStr">
        <is>
          <t>MAT-016</t>
        </is>
      </c>
      <c r="G31" t="inlineStr">
        <is>
          <t>Automotive IC</t>
        </is>
      </c>
      <c r="H31" t="n">
        <v>190</v>
      </c>
      <c r="I31" t="n">
        <v>50</v>
      </c>
      <c r="J31" t="n">
        <v>100</v>
      </c>
      <c r="K31" t="n">
        <v>150</v>
      </c>
      <c r="L31" t="n">
        <v>40</v>
      </c>
      <c r="M31" s="3" t="n">
        <v>1000000</v>
      </c>
      <c r="N31" t="n">
        <v>0</v>
      </c>
      <c r="O31" s="3" t="n">
        <v>0</v>
      </c>
      <c r="P31" t="inlineStr">
        <is>
          <t>Supplier L</t>
        </is>
      </c>
      <c r="Q31" t="n">
        <v>80</v>
      </c>
      <c r="R31" t="n">
        <v>50</v>
      </c>
      <c r="S31" t="n">
        <v>25000</v>
      </c>
      <c r="T31" t="n">
        <v>50</v>
      </c>
      <c r="U31" s="3" t="n">
        <v>1250000</v>
      </c>
      <c r="V31" s="2" t="n">
        <v>46177</v>
      </c>
      <c r="W31" s="4" t="inlineStr">
        <is>
          <t>High</t>
        </is>
      </c>
    </row>
    <row r="32">
      <c r="A32" t="inlineStr">
        <is>
          <t>2026-W33</t>
        </is>
      </c>
      <c r="B32" t="inlineStr">
        <is>
          <t>2026-08</t>
        </is>
      </c>
      <c r="C32" s="2" t="n">
        <v>46244</v>
      </c>
      <c r="D32" s="2" t="n">
        <v>46250</v>
      </c>
      <c r="E32" s="2" t="n">
        <v>46265</v>
      </c>
      <c r="F32" t="inlineStr">
        <is>
          <t>MAT-013</t>
        </is>
      </c>
      <c r="G32" t="inlineStr">
        <is>
          <t>FPCB</t>
        </is>
      </c>
      <c r="H32" t="n">
        <v>520</v>
      </c>
      <c r="I32" t="n">
        <v>100</v>
      </c>
      <c r="J32" t="n">
        <v>150</v>
      </c>
      <c r="K32" t="n">
        <v>250</v>
      </c>
      <c r="L32" t="n">
        <v>270</v>
      </c>
      <c r="M32" s="3" t="n">
        <v>945000</v>
      </c>
      <c r="N32" t="n">
        <v>0</v>
      </c>
      <c r="O32" s="3" t="n">
        <v>0</v>
      </c>
      <c r="P32" t="inlineStr">
        <is>
          <t>Supplier I</t>
        </is>
      </c>
      <c r="Q32" t="n">
        <v>45</v>
      </c>
      <c r="R32" t="n">
        <v>100</v>
      </c>
      <c r="S32" t="n">
        <v>3500</v>
      </c>
      <c r="T32" t="n">
        <v>300</v>
      </c>
      <c r="U32" s="3" t="n">
        <v>1050000</v>
      </c>
      <c r="V32" s="2" t="n">
        <v>46205</v>
      </c>
      <c r="W32" s="4" t="inlineStr">
        <is>
          <t>High</t>
        </is>
      </c>
    </row>
    <row r="33">
      <c r="A33" t="inlineStr">
        <is>
          <t>2026-W33</t>
        </is>
      </c>
      <c r="B33" t="inlineStr">
        <is>
          <t>2026-08</t>
        </is>
      </c>
      <c r="C33" s="2" t="n">
        <v>46244</v>
      </c>
      <c r="D33" s="2" t="n">
        <v>46250</v>
      </c>
      <c r="E33" s="2" t="n">
        <v>46265</v>
      </c>
      <c r="F33" t="inlineStr">
        <is>
          <t>MAT-020</t>
        </is>
      </c>
      <c r="G33" t="inlineStr">
        <is>
          <t>Battery Cell</t>
        </is>
      </c>
      <c r="H33" t="n">
        <v>400</v>
      </c>
      <c r="I33" t="n">
        <v>100</v>
      </c>
      <c r="J33" t="n">
        <v>200</v>
      </c>
      <c r="K33" t="n">
        <v>300</v>
      </c>
      <c r="L33" t="n">
        <v>100</v>
      </c>
      <c r="M33" s="3" t="n">
        <v>900000</v>
      </c>
      <c r="N33" t="n">
        <v>0</v>
      </c>
      <c r="O33" s="3" t="n">
        <v>0</v>
      </c>
      <c r="P33" t="inlineStr">
        <is>
          <t>Supplier P</t>
        </is>
      </c>
      <c r="Q33" t="n">
        <v>50</v>
      </c>
      <c r="R33" t="n">
        <v>100</v>
      </c>
      <c r="S33" t="n">
        <v>9000</v>
      </c>
      <c r="T33" t="n">
        <v>100</v>
      </c>
      <c r="U33" s="3" t="n">
        <v>900000</v>
      </c>
      <c r="V33" s="2" t="n">
        <v>46200</v>
      </c>
      <c r="W33" s="4" t="inlineStr">
        <is>
          <t>High</t>
        </is>
      </c>
    </row>
    <row r="34">
      <c r="A34" t="inlineStr">
        <is>
          <t>2026-W31</t>
        </is>
      </c>
      <c r="B34" t="inlineStr">
        <is>
          <t>2026-08</t>
        </is>
      </c>
      <c r="C34" s="2" t="n">
        <v>46230</v>
      </c>
      <c r="D34" s="2" t="n">
        <v>46236</v>
      </c>
      <c r="E34" s="2" t="n">
        <v>46265</v>
      </c>
      <c r="F34" t="inlineStr">
        <is>
          <t>MAT-013</t>
        </is>
      </c>
      <c r="G34" t="inlineStr">
        <is>
          <t>FPCB</t>
        </is>
      </c>
      <c r="H34" t="n">
        <v>480</v>
      </c>
      <c r="I34" t="n">
        <v>100</v>
      </c>
      <c r="J34" t="n">
        <v>150</v>
      </c>
      <c r="K34" t="n">
        <v>250</v>
      </c>
      <c r="L34" t="n">
        <v>230</v>
      </c>
      <c r="M34" s="3" t="n">
        <v>805000</v>
      </c>
      <c r="N34" t="n">
        <v>0</v>
      </c>
      <c r="O34" s="3" t="n">
        <v>0</v>
      </c>
      <c r="P34" t="inlineStr">
        <is>
          <t>Supplier I</t>
        </is>
      </c>
      <c r="Q34" t="n">
        <v>45</v>
      </c>
      <c r="R34" t="n">
        <v>100</v>
      </c>
      <c r="S34" t="n">
        <v>3500</v>
      </c>
      <c r="T34" t="n">
        <v>300</v>
      </c>
      <c r="U34" s="3" t="n">
        <v>1050000</v>
      </c>
      <c r="V34" s="2" t="n">
        <v>46191</v>
      </c>
      <c r="W34" s="4" t="inlineStr">
        <is>
          <t>High</t>
        </is>
      </c>
    </row>
    <row r="35">
      <c r="A35" t="inlineStr">
        <is>
          <t>2026-W36</t>
        </is>
      </c>
      <c r="B35" t="inlineStr">
        <is>
          <t>2026-09</t>
        </is>
      </c>
      <c r="C35" s="2" t="n">
        <v>46265</v>
      </c>
      <c r="D35" s="2" t="n">
        <v>46271</v>
      </c>
      <c r="E35" s="2" t="n">
        <v>46295</v>
      </c>
      <c r="F35" t="inlineStr">
        <is>
          <t>MAT-018</t>
        </is>
      </c>
      <c r="G35" t="inlineStr">
        <is>
          <t>RF Module</t>
        </is>
      </c>
      <c r="H35" t="n">
        <v>170</v>
      </c>
      <c r="I35" t="n">
        <v>80</v>
      </c>
      <c r="J35" t="n">
        <v>50</v>
      </c>
      <c r="K35" t="n">
        <v>130</v>
      </c>
      <c r="L35" t="n">
        <v>40</v>
      </c>
      <c r="M35" s="3" t="n">
        <v>800000</v>
      </c>
      <c r="N35" t="n">
        <v>0</v>
      </c>
      <c r="O35" s="3" t="n">
        <v>0</v>
      </c>
      <c r="P35" t="inlineStr">
        <is>
          <t>Supplier N</t>
        </is>
      </c>
      <c r="Q35" t="n">
        <v>65</v>
      </c>
      <c r="R35" t="n">
        <v>50</v>
      </c>
      <c r="S35" t="n">
        <v>20000</v>
      </c>
      <c r="T35" t="n">
        <v>50</v>
      </c>
      <c r="U35" s="3" t="n">
        <v>1000000</v>
      </c>
      <c r="V35" s="2" t="n">
        <v>46206</v>
      </c>
      <c r="W35" s="4" t="inlineStr">
        <is>
          <t>High</t>
        </is>
      </c>
    </row>
    <row r="36">
      <c r="A36" t="inlineStr">
        <is>
          <t>2026-W32</t>
        </is>
      </c>
      <c r="B36" t="inlineStr">
        <is>
          <t>2026-08</t>
        </is>
      </c>
      <c r="C36" s="2" t="n">
        <v>46237</v>
      </c>
      <c r="D36" s="2" t="n">
        <v>46243</v>
      </c>
      <c r="E36" s="2" t="n">
        <v>46265</v>
      </c>
      <c r="F36" t="inlineStr">
        <is>
          <t>MAT-016</t>
        </is>
      </c>
      <c r="G36" t="inlineStr">
        <is>
          <t>Automotive IC</t>
        </is>
      </c>
      <c r="H36" t="n">
        <v>180</v>
      </c>
      <c r="I36" t="n">
        <v>50</v>
      </c>
      <c r="J36" t="n">
        <v>100</v>
      </c>
      <c r="K36" t="n">
        <v>150</v>
      </c>
      <c r="L36" t="n">
        <v>30</v>
      </c>
      <c r="M36" s="3" t="n">
        <v>750000</v>
      </c>
      <c r="N36" t="n">
        <v>0</v>
      </c>
      <c r="O36" s="3" t="n">
        <v>0</v>
      </c>
      <c r="P36" t="inlineStr">
        <is>
          <t>Supplier L</t>
        </is>
      </c>
      <c r="Q36" t="n">
        <v>80</v>
      </c>
      <c r="R36" t="n">
        <v>50</v>
      </c>
      <c r="S36" t="n">
        <v>25000</v>
      </c>
      <c r="T36" t="n">
        <v>50</v>
      </c>
      <c r="U36" s="3" t="n">
        <v>1250000</v>
      </c>
      <c r="V36" s="2" t="n">
        <v>46163</v>
      </c>
      <c r="W36" s="4" t="inlineStr">
        <is>
          <t>High</t>
        </is>
      </c>
    </row>
    <row r="37">
      <c r="A37" t="inlineStr">
        <is>
          <t>2026-W29</t>
        </is>
      </c>
      <c r="B37" t="inlineStr">
        <is>
          <t>2026-07</t>
        </is>
      </c>
      <c r="C37" s="2" t="n">
        <v>46216</v>
      </c>
      <c r="D37" s="2" t="n">
        <v>46222</v>
      </c>
      <c r="E37" s="2" t="n">
        <v>46234</v>
      </c>
      <c r="F37" t="inlineStr">
        <is>
          <t>MAT-013</t>
        </is>
      </c>
      <c r="G37" t="inlineStr">
        <is>
          <t>FPCB</t>
        </is>
      </c>
      <c r="H37" t="n">
        <v>440</v>
      </c>
      <c r="I37" t="n">
        <v>100</v>
      </c>
      <c r="J37" t="n">
        <v>150</v>
      </c>
      <c r="K37" t="n">
        <v>250</v>
      </c>
      <c r="L37" t="n">
        <v>190</v>
      </c>
      <c r="M37" s="3" t="n">
        <v>665000</v>
      </c>
      <c r="N37" t="n">
        <v>0</v>
      </c>
      <c r="O37" s="3" t="n">
        <v>0</v>
      </c>
      <c r="P37" t="inlineStr">
        <is>
          <t>Supplier I</t>
        </is>
      </c>
      <c r="Q37" t="n">
        <v>45</v>
      </c>
      <c r="R37" t="n">
        <v>100</v>
      </c>
      <c r="S37" t="n">
        <v>3500</v>
      </c>
      <c r="T37" t="n">
        <v>200</v>
      </c>
      <c r="U37" s="3" t="n">
        <v>700000</v>
      </c>
      <c r="V37" s="2" t="n">
        <v>46177</v>
      </c>
      <c r="W37" s="4" t="inlineStr">
        <is>
          <t>High</t>
        </is>
      </c>
    </row>
    <row r="38">
      <c r="A38" t="inlineStr">
        <is>
          <t>2026-W38</t>
        </is>
      </c>
      <c r="B38" t="inlineStr">
        <is>
          <t>2026-09</t>
        </is>
      </c>
      <c r="C38" s="2" t="n">
        <v>46279</v>
      </c>
      <c r="D38" s="2" t="n">
        <v>46285</v>
      </c>
      <c r="E38" s="2" t="n">
        <v>46295</v>
      </c>
      <c r="F38" t="inlineStr">
        <is>
          <t>MAT-007</t>
        </is>
      </c>
      <c r="G38" t="inlineStr">
        <is>
          <t>Sensor IC</t>
        </is>
      </c>
      <c r="H38" t="n">
        <v>380</v>
      </c>
      <c r="I38" t="n">
        <v>100</v>
      </c>
      <c r="J38" t="n">
        <v>200</v>
      </c>
      <c r="K38" t="n">
        <v>300</v>
      </c>
      <c r="L38" t="n">
        <v>80</v>
      </c>
      <c r="M38" s="3" t="n">
        <v>560000</v>
      </c>
      <c r="N38" t="n">
        <v>0</v>
      </c>
      <c r="O38" s="3" t="n">
        <v>0</v>
      </c>
      <c r="P38" t="inlineStr">
        <is>
          <t>Supplier F</t>
        </is>
      </c>
      <c r="Q38" t="n">
        <v>55</v>
      </c>
      <c r="R38" t="n">
        <v>100</v>
      </c>
      <c r="S38" t="n">
        <v>7000</v>
      </c>
      <c r="T38" t="n">
        <v>100</v>
      </c>
      <c r="U38" s="3" t="n">
        <v>700000</v>
      </c>
      <c r="V38" s="2" t="n">
        <v>46230</v>
      </c>
      <c r="W38" s="4" t="inlineStr">
        <is>
          <t>High</t>
        </is>
      </c>
    </row>
    <row r="39">
      <c r="A39" t="inlineStr">
        <is>
          <t>2026-W27</t>
        </is>
      </c>
      <c r="B39" t="inlineStr">
        <is>
          <t>2026-07</t>
        </is>
      </c>
      <c r="C39" s="2" t="n">
        <v>46202</v>
      </c>
      <c r="D39" s="2" t="n">
        <v>46208</v>
      </c>
      <c r="E39" s="2" t="n">
        <v>46234</v>
      </c>
      <c r="F39" t="inlineStr">
        <is>
          <t>MAT-013</t>
        </is>
      </c>
      <c r="G39" t="inlineStr">
        <is>
          <t>FPCB</t>
        </is>
      </c>
      <c r="H39" t="n">
        <v>400</v>
      </c>
      <c r="I39" t="n">
        <v>100</v>
      </c>
      <c r="J39" t="n">
        <v>150</v>
      </c>
      <c r="K39" t="n">
        <v>250</v>
      </c>
      <c r="L39" t="n">
        <v>150</v>
      </c>
      <c r="M39" s="3" t="n">
        <v>525000</v>
      </c>
      <c r="N39" t="n">
        <v>0</v>
      </c>
      <c r="O39" s="3" t="n">
        <v>0</v>
      </c>
      <c r="P39" t="inlineStr">
        <is>
          <t>Supplier I</t>
        </is>
      </c>
      <c r="Q39" t="n">
        <v>45</v>
      </c>
      <c r="R39" t="n">
        <v>100</v>
      </c>
      <c r="S39" t="n">
        <v>3500</v>
      </c>
      <c r="T39" t="n">
        <v>200</v>
      </c>
      <c r="U39" s="3" t="n">
        <v>700000</v>
      </c>
      <c r="V39" s="2" t="n">
        <v>46163</v>
      </c>
      <c r="W39" s="4" t="inlineStr">
        <is>
          <t>High</t>
        </is>
      </c>
    </row>
    <row r="40">
      <c r="A40" t="inlineStr">
        <is>
          <t>2026-W28</t>
        </is>
      </c>
      <c r="B40" t="inlineStr">
        <is>
          <t>2026-07</t>
        </is>
      </c>
      <c r="C40" s="2" t="n">
        <v>46209</v>
      </c>
      <c r="D40" s="2" t="n">
        <v>46215</v>
      </c>
      <c r="E40" s="2" t="n">
        <v>46234</v>
      </c>
      <c r="F40" t="inlineStr">
        <is>
          <t>MAT-018</t>
        </is>
      </c>
      <c r="G40" t="inlineStr">
        <is>
          <t>RF Module</t>
        </is>
      </c>
      <c r="H40" t="n">
        <v>100</v>
      </c>
      <c r="I40" t="n">
        <v>80</v>
      </c>
      <c r="J40" t="n">
        <v>0</v>
      </c>
      <c r="K40" t="n">
        <v>80</v>
      </c>
      <c r="L40" t="n">
        <v>20</v>
      </c>
      <c r="M40" s="3" t="n">
        <v>400000</v>
      </c>
      <c r="N40" t="n">
        <v>0</v>
      </c>
      <c r="O40" s="3" t="n">
        <v>0</v>
      </c>
      <c r="P40" t="inlineStr">
        <is>
          <t>Supplier N</t>
        </is>
      </c>
      <c r="Q40" t="n">
        <v>65</v>
      </c>
      <c r="R40" t="n">
        <v>50</v>
      </c>
      <c r="S40" t="n">
        <v>20000</v>
      </c>
      <c r="T40" t="n">
        <v>50</v>
      </c>
      <c r="U40" s="3" t="n">
        <v>1000000</v>
      </c>
      <c r="V40" s="2" t="n">
        <v>46150</v>
      </c>
      <c r="W40" s="4" t="inlineStr">
        <is>
          <t>High</t>
        </is>
      </c>
    </row>
    <row r="41">
      <c r="A41" t="inlineStr">
        <is>
          <t>2026-W34</t>
        </is>
      </c>
      <c r="B41" t="inlineStr">
        <is>
          <t>2026-08</t>
        </is>
      </c>
      <c r="C41" s="2" t="n">
        <v>46251</v>
      </c>
      <c r="D41" s="2" t="n">
        <v>46257</v>
      </c>
      <c r="E41" s="2" t="n">
        <v>46265</v>
      </c>
      <c r="F41" t="inlineStr">
        <is>
          <t>MAT-018</t>
        </is>
      </c>
      <c r="G41" t="inlineStr">
        <is>
          <t>RF Module</t>
        </is>
      </c>
      <c r="H41" t="n">
        <v>150</v>
      </c>
      <c r="I41" t="n">
        <v>80</v>
      </c>
      <c r="J41" t="n">
        <v>50</v>
      </c>
      <c r="K41" t="n">
        <v>130</v>
      </c>
      <c r="L41" t="n">
        <v>20</v>
      </c>
      <c r="M41" s="3" t="n">
        <v>400000</v>
      </c>
      <c r="N41" t="n">
        <v>0</v>
      </c>
      <c r="O41" s="3" t="n">
        <v>0</v>
      </c>
      <c r="P41" t="inlineStr">
        <is>
          <t>Supplier N</t>
        </is>
      </c>
      <c r="Q41" t="n">
        <v>65</v>
      </c>
      <c r="R41" t="n">
        <v>50</v>
      </c>
      <c r="S41" t="n">
        <v>20000</v>
      </c>
      <c r="T41" t="n">
        <v>50</v>
      </c>
      <c r="U41" s="3" t="n">
        <v>1000000</v>
      </c>
      <c r="V41" s="2" t="n">
        <v>46192</v>
      </c>
      <c r="W41" s="4" t="inlineStr">
        <is>
          <t>High</t>
        </is>
      </c>
    </row>
    <row r="42">
      <c r="A42" t="inlineStr">
        <is>
          <t>2026-W30</t>
        </is>
      </c>
      <c r="B42" t="inlineStr">
        <is>
          <t>2026-07</t>
        </is>
      </c>
      <c r="C42" s="2" t="n">
        <v>46223</v>
      </c>
      <c r="D42" s="2" t="n">
        <v>46229</v>
      </c>
      <c r="E42" s="2" t="n">
        <v>46234</v>
      </c>
      <c r="F42" t="inlineStr">
        <is>
          <t>MAT-010</t>
        </is>
      </c>
      <c r="G42" t="inlineStr">
        <is>
          <t>SSD Controller</t>
        </is>
      </c>
      <c r="H42" t="n">
        <v>220</v>
      </c>
      <c r="I42" t="n">
        <v>200</v>
      </c>
      <c r="J42" t="n">
        <v>0</v>
      </c>
      <c r="K42" t="n">
        <v>200</v>
      </c>
      <c r="L42" t="n">
        <v>20</v>
      </c>
      <c r="M42" s="3" t="n">
        <v>360000</v>
      </c>
      <c r="N42" t="n">
        <v>0</v>
      </c>
      <c r="O42" s="3" t="n">
        <v>0</v>
      </c>
      <c r="P42" t="inlineStr">
        <is>
          <t>Supplier G</t>
        </is>
      </c>
      <c r="Q42" t="n">
        <v>70</v>
      </c>
      <c r="R42" t="n">
        <v>100</v>
      </c>
      <c r="S42" t="n">
        <v>18000</v>
      </c>
      <c r="T42" t="n">
        <v>100</v>
      </c>
      <c r="U42" s="3" t="n">
        <v>1800000</v>
      </c>
      <c r="V42" s="2" t="n">
        <v>46159</v>
      </c>
      <c r="W42" s="4" t="inlineStr">
        <is>
          <t>High</t>
        </is>
      </c>
    </row>
    <row r="43">
      <c r="A43" t="inlineStr">
        <is>
          <t>2026-W38</t>
        </is>
      </c>
      <c r="B43" t="inlineStr">
        <is>
          <t>2026-09</t>
        </is>
      </c>
      <c r="C43" s="2" t="n">
        <v>46279</v>
      </c>
      <c r="D43" s="2" t="n">
        <v>46285</v>
      </c>
      <c r="E43" s="2" t="n">
        <v>46295</v>
      </c>
      <c r="F43" t="inlineStr">
        <is>
          <t>MAT-010</t>
        </is>
      </c>
      <c r="G43" t="inlineStr">
        <is>
          <t>SSD Controller</t>
        </is>
      </c>
      <c r="H43" t="n">
        <v>320</v>
      </c>
      <c r="I43" t="n">
        <v>200</v>
      </c>
      <c r="J43" t="n">
        <v>100</v>
      </c>
      <c r="K43" t="n">
        <v>300</v>
      </c>
      <c r="L43" t="n">
        <v>20</v>
      </c>
      <c r="M43" s="3" t="n">
        <v>360000</v>
      </c>
      <c r="N43" t="n">
        <v>0</v>
      </c>
      <c r="O43" s="3" t="n">
        <v>0</v>
      </c>
      <c r="P43" t="inlineStr">
        <is>
          <t>Supplier G</t>
        </is>
      </c>
      <c r="Q43" t="n">
        <v>70</v>
      </c>
      <c r="R43" t="n">
        <v>100</v>
      </c>
      <c r="S43" t="n">
        <v>18000</v>
      </c>
      <c r="T43" t="n">
        <v>100</v>
      </c>
      <c r="U43" s="3" t="n">
        <v>1800000</v>
      </c>
      <c r="V43" s="2" t="n">
        <v>46215</v>
      </c>
      <c r="W43" s="4" t="inlineStr">
        <is>
          <t>High</t>
        </is>
      </c>
    </row>
    <row r="44">
      <c r="A44" t="inlineStr">
        <is>
          <t>2026-W36</t>
        </is>
      </c>
      <c r="B44" t="inlineStr">
        <is>
          <t>2026-09</t>
        </is>
      </c>
      <c r="C44" s="2" t="n">
        <v>46265</v>
      </c>
      <c r="D44" s="2" t="n">
        <v>46271</v>
      </c>
      <c r="E44" s="2" t="n">
        <v>46295</v>
      </c>
      <c r="F44" t="inlineStr">
        <is>
          <t>MAT-007</t>
        </is>
      </c>
      <c r="G44" t="inlineStr">
        <is>
          <t>Sensor IC</t>
        </is>
      </c>
      <c r="H44" t="n">
        <v>340</v>
      </c>
      <c r="I44" t="n">
        <v>100</v>
      </c>
      <c r="J44" t="n">
        <v>200</v>
      </c>
      <c r="K44" t="n">
        <v>300</v>
      </c>
      <c r="L44" t="n">
        <v>40</v>
      </c>
      <c r="M44" s="3" t="n">
        <v>280000</v>
      </c>
      <c r="N44" t="n">
        <v>0</v>
      </c>
      <c r="O44" s="3" t="n">
        <v>0</v>
      </c>
      <c r="P44" t="inlineStr">
        <is>
          <t>Supplier F</t>
        </is>
      </c>
      <c r="Q44" t="n">
        <v>55</v>
      </c>
      <c r="R44" t="n">
        <v>100</v>
      </c>
      <c r="S44" t="n">
        <v>7000</v>
      </c>
      <c r="T44" t="n">
        <v>100</v>
      </c>
      <c r="U44" s="3" t="n">
        <v>700000</v>
      </c>
      <c r="V44" s="2" t="n">
        <v>46216</v>
      </c>
      <c r="W44" s="4" t="inlineStr">
        <is>
          <t>High</t>
        </is>
      </c>
    </row>
    <row r="45">
      <c r="A45" t="inlineStr">
        <is>
          <t>2026-W28</t>
        </is>
      </c>
      <c r="B45" t="inlineStr">
        <is>
          <t>2026-07</t>
        </is>
      </c>
      <c r="C45" s="2" t="n">
        <v>46209</v>
      </c>
      <c r="D45" s="2" t="n">
        <v>46215</v>
      </c>
      <c r="E45" s="2" t="n">
        <v>46234</v>
      </c>
      <c r="F45" t="inlineStr">
        <is>
          <t>MAT-005</t>
        </is>
      </c>
      <c r="G45" t="inlineStr">
        <is>
          <t>NAND Flash</t>
        </is>
      </c>
      <c r="H45" t="n">
        <v>720</v>
      </c>
      <c r="I45" t="n">
        <v>400</v>
      </c>
      <c r="J45" t="n">
        <v>300</v>
      </c>
      <c r="K45" t="n">
        <v>700</v>
      </c>
      <c r="L45" t="n">
        <v>20</v>
      </c>
      <c r="M45" s="3" t="n">
        <v>240000</v>
      </c>
      <c r="N45" t="n">
        <v>0</v>
      </c>
      <c r="O45" s="3" t="n">
        <v>0</v>
      </c>
      <c r="P45" t="inlineStr">
        <is>
          <t>Supplier D</t>
        </is>
      </c>
      <c r="Q45" t="n">
        <v>50</v>
      </c>
      <c r="R45" t="n">
        <v>200</v>
      </c>
      <c r="S45" t="n">
        <v>12000</v>
      </c>
      <c r="T45" t="n">
        <v>200</v>
      </c>
      <c r="U45" s="3" t="n">
        <v>2400000</v>
      </c>
      <c r="V45" s="2" t="n">
        <v>46165</v>
      </c>
      <c r="W45" s="4" t="inlineStr">
        <is>
          <t>High</t>
        </is>
      </c>
    </row>
    <row r="46">
      <c r="A46" t="inlineStr">
        <is>
          <t>2026-W37</t>
        </is>
      </c>
      <c r="B46" t="inlineStr">
        <is>
          <t>2026-09</t>
        </is>
      </c>
      <c r="C46" s="2" t="n">
        <v>46272</v>
      </c>
      <c r="D46" s="2" t="n">
        <v>46278</v>
      </c>
      <c r="E46" s="2" t="n">
        <v>46295</v>
      </c>
      <c r="F46" t="inlineStr">
        <is>
          <t>MAT-005</t>
        </is>
      </c>
      <c r="G46" t="inlineStr">
        <is>
          <t>NAND Flash</t>
        </is>
      </c>
      <c r="H46" t="n">
        <v>720</v>
      </c>
      <c r="I46" t="n">
        <v>400</v>
      </c>
      <c r="J46" t="n">
        <v>300</v>
      </c>
      <c r="K46" t="n">
        <v>700</v>
      </c>
      <c r="L46" t="n">
        <v>20</v>
      </c>
      <c r="M46" s="3" t="n">
        <v>240000</v>
      </c>
      <c r="N46" t="n">
        <v>0</v>
      </c>
      <c r="O46" s="3" t="n">
        <v>0</v>
      </c>
      <c r="P46" t="inlineStr">
        <is>
          <t>Supplier D</t>
        </is>
      </c>
      <c r="Q46" t="n">
        <v>50</v>
      </c>
      <c r="R46" t="n">
        <v>200</v>
      </c>
      <c r="S46" t="n">
        <v>12000</v>
      </c>
      <c r="T46" t="n">
        <v>200</v>
      </c>
      <c r="U46" s="3" t="n">
        <v>2400000</v>
      </c>
      <c r="V46" s="2" t="n">
        <v>46228</v>
      </c>
      <c r="W46" s="4" t="inlineStr">
        <is>
          <t>High</t>
        </is>
      </c>
    </row>
    <row r="47">
      <c r="A47" t="inlineStr">
        <is>
          <t>2026-W29</t>
        </is>
      </c>
      <c r="B47" t="inlineStr">
        <is>
          <t>2026-07</t>
        </is>
      </c>
      <c r="C47" s="2" t="n">
        <v>46216</v>
      </c>
      <c r="D47" s="2" t="n">
        <v>46222</v>
      </c>
      <c r="E47" s="2" t="n">
        <v>46234</v>
      </c>
      <c r="F47" t="inlineStr">
        <is>
          <t>MAT-020</t>
        </is>
      </c>
      <c r="G47" t="inlineStr">
        <is>
          <t>Battery Cell</t>
        </is>
      </c>
      <c r="H47" t="n">
        <v>320</v>
      </c>
      <c r="I47" t="n">
        <v>100</v>
      </c>
      <c r="J47" t="n">
        <v>200</v>
      </c>
      <c r="K47" t="n">
        <v>300</v>
      </c>
      <c r="L47" t="n">
        <v>20</v>
      </c>
      <c r="M47" s="3" t="n">
        <v>180000</v>
      </c>
      <c r="N47" t="n">
        <v>0</v>
      </c>
      <c r="O47" s="3" t="n">
        <v>0</v>
      </c>
      <c r="P47" t="inlineStr">
        <is>
          <t>Supplier P</t>
        </is>
      </c>
      <c r="Q47" t="n">
        <v>50</v>
      </c>
      <c r="R47" t="n">
        <v>100</v>
      </c>
      <c r="S47" t="n">
        <v>9000</v>
      </c>
      <c r="T47" t="n">
        <v>100</v>
      </c>
      <c r="U47" s="3" t="n">
        <v>900000</v>
      </c>
      <c r="V47" s="2" t="n">
        <v>46172</v>
      </c>
      <c r="W47" s="4" t="inlineStr">
        <is>
          <t>High</t>
        </is>
      </c>
    </row>
    <row r="48">
      <c r="A48" t="inlineStr">
        <is>
          <t>2026-W31</t>
        </is>
      </c>
      <c r="B48" t="inlineStr">
        <is>
          <t>2026-08</t>
        </is>
      </c>
      <c r="C48" s="2" t="n">
        <v>46230</v>
      </c>
      <c r="D48" s="2" t="n">
        <v>46236</v>
      </c>
      <c r="E48" s="2" t="n">
        <v>46265</v>
      </c>
      <c r="F48" t="inlineStr">
        <is>
          <t>MAT-004</t>
        </is>
      </c>
      <c r="G48" t="inlineStr">
        <is>
          <t>PKG Substrate</t>
        </is>
      </c>
      <c r="H48" t="n">
        <v>840</v>
      </c>
      <c r="I48" t="n">
        <v>300</v>
      </c>
      <c r="J48" t="n">
        <v>500</v>
      </c>
      <c r="K48" t="n">
        <v>800</v>
      </c>
      <c r="L48" t="n">
        <v>40</v>
      </c>
      <c r="M48" s="3" t="n">
        <v>160000</v>
      </c>
      <c r="N48" t="n">
        <v>0</v>
      </c>
      <c r="O48" s="3" t="n">
        <v>0</v>
      </c>
      <c r="P48" t="inlineStr">
        <is>
          <t>Supplier A</t>
        </is>
      </c>
      <c r="Q48" t="n">
        <v>60</v>
      </c>
      <c r="R48" t="n">
        <v>300</v>
      </c>
      <c r="S48" t="n">
        <v>4000</v>
      </c>
      <c r="T48" t="n">
        <v>300</v>
      </c>
      <c r="U48" s="3" t="n">
        <v>1200000</v>
      </c>
      <c r="V48" s="2" t="n">
        <v>46176</v>
      </c>
      <c r="W48" s="4" t="inlineStr">
        <is>
          <t>High</t>
        </is>
      </c>
    </row>
    <row r="49">
      <c r="A49" t="inlineStr">
        <is>
          <t>2026-W37</t>
        </is>
      </c>
      <c r="B49" t="inlineStr">
        <is>
          <t>2026-09</t>
        </is>
      </c>
      <c r="C49" s="2" t="n">
        <v>46272</v>
      </c>
      <c r="D49" s="2" t="n">
        <v>46278</v>
      </c>
      <c r="E49" s="2" t="n">
        <v>46295</v>
      </c>
      <c r="F49" t="inlineStr">
        <is>
          <t>MAT-006</t>
        </is>
      </c>
      <c r="G49" t="inlineStr">
        <is>
          <t>MCU</t>
        </is>
      </c>
      <c r="H49" t="n">
        <v>600</v>
      </c>
      <c r="I49" t="n">
        <v>250</v>
      </c>
      <c r="J49" t="n">
        <v>100</v>
      </c>
      <c r="K49" t="n">
        <v>350</v>
      </c>
      <c r="L49" t="n">
        <v>250</v>
      </c>
      <c r="M49" s="3" t="n">
        <v>3750000</v>
      </c>
      <c r="N49" t="n">
        <v>0</v>
      </c>
      <c r="O49" s="3" t="n">
        <v>0</v>
      </c>
      <c r="P49" t="inlineStr">
        <is>
          <t>Supplier E</t>
        </is>
      </c>
      <c r="Q49" t="n">
        <v>40</v>
      </c>
      <c r="R49" t="n">
        <v>100</v>
      </c>
      <c r="S49" t="n">
        <v>15000</v>
      </c>
      <c r="T49" t="n">
        <v>300</v>
      </c>
      <c r="U49" s="3" t="n">
        <v>4500000</v>
      </c>
      <c r="V49" s="2" t="n">
        <v>46238</v>
      </c>
      <c r="W49" s="5" t="inlineStr">
        <is>
          <t>Medium</t>
        </is>
      </c>
    </row>
    <row r="50">
      <c r="A50" t="inlineStr">
        <is>
          <t>2026-W35</t>
        </is>
      </c>
      <c r="B50" t="inlineStr">
        <is>
          <t>2026-08</t>
        </is>
      </c>
      <c r="C50" s="2" t="n">
        <v>46258</v>
      </c>
      <c r="D50" s="2" t="n">
        <v>46264</v>
      </c>
      <c r="E50" s="2" t="n">
        <v>46265</v>
      </c>
      <c r="F50" t="inlineStr">
        <is>
          <t>MAT-006</t>
        </is>
      </c>
      <c r="G50" t="inlineStr">
        <is>
          <t>MCU</t>
        </is>
      </c>
      <c r="H50" t="n">
        <v>560</v>
      </c>
      <c r="I50" t="n">
        <v>250</v>
      </c>
      <c r="J50" t="n">
        <v>100</v>
      </c>
      <c r="K50" t="n">
        <v>350</v>
      </c>
      <c r="L50" t="n">
        <v>210</v>
      </c>
      <c r="M50" s="3" t="n">
        <v>3150000</v>
      </c>
      <c r="N50" t="n">
        <v>0</v>
      </c>
      <c r="O50" s="3" t="n">
        <v>0</v>
      </c>
      <c r="P50" t="inlineStr">
        <is>
          <t>Supplier E</t>
        </is>
      </c>
      <c r="Q50" t="n">
        <v>40</v>
      </c>
      <c r="R50" t="n">
        <v>100</v>
      </c>
      <c r="S50" t="n">
        <v>15000</v>
      </c>
      <c r="T50" t="n">
        <v>300</v>
      </c>
      <c r="U50" s="3" t="n">
        <v>4500000</v>
      </c>
      <c r="V50" s="2" t="n">
        <v>46224</v>
      </c>
      <c r="W50" s="5" t="inlineStr">
        <is>
          <t>Medium</t>
        </is>
      </c>
    </row>
    <row r="51">
      <c r="A51" t="inlineStr">
        <is>
          <t>2026-W33</t>
        </is>
      </c>
      <c r="B51" t="inlineStr">
        <is>
          <t>2026-08</t>
        </is>
      </c>
      <c r="C51" s="2" t="n">
        <v>46244</v>
      </c>
      <c r="D51" s="2" t="n">
        <v>46250</v>
      </c>
      <c r="E51" s="2" t="n">
        <v>46265</v>
      </c>
      <c r="F51" t="inlineStr">
        <is>
          <t>MAT-006</t>
        </is>
      </c>
      <c r="G51" t="inlineStr">
        <is>
          <t>MCU</t>
        </is>
      </c>
      <c r="H51" t="n">
        <v>520</v>
      </c>
      <c r="I51" t="n">
        <v>250</v>
      </c>
      <c r="J51" t="n">
        <v>100</v>
      </c>
      <c r="K51" t="n">
        <v>350</v>
      </c>
      <c r="L51" t="n">
        <v>170</v>
      </c>
      <c r="M51" s="3" t="n">
        <v>2550000</v>
      </c>
      <c r="N51" t="n">
        <v>0</v>
      </c>
      <c r="O51" s="3" t="n">
        <v>0</v>
      </c>
      <c r="P51" t="inlineStr">
        <is>
          <t>Supplier E</t>
        </is>
      </c>
      <c r="Q51" t="n">
        <v>40</v>
      </c>
      <c r="R51" t="n">
        <v>100</v>
      </c>
      <c r="S51" t="n">
        <v>15000</v>
      </c>
      <c r="T51" t="n">
        <v>200</v>
      </c>
      <c r="U51" s="3" t="n">
        <v>3000000</v>
      </c>
      <c r="V51" s="2" t="n">
        <v>46210</v>
      </c>
      <c r="W51" s="5" t="inlineStr">
        <is>
          <t>Medium</t>
        </is>
      </c>
    </row>
    <row r="52">
      <c r="A52" t="inlineStr">
        <is>
          <t>2026-W31</t>
        </is>
      </c>
      <c r="B52" t="inlineStr">
        <is>
          <t>2026-08</t>
        </is>
      </c>
      <c r="C52" s="2" t="n">
        <v>46230</v>
      </c>
      <c r="D52" s="2" t="n">
        <v>46236</v>
      </c>
      <c r="E52" s="2" t="n">
        <v>46265</v>
      </c>
      <c r="F52" t="inlineStr">
        <is>
          <t>MAT-006</t>
        </is>
      </c>
      <c r="G52" t="inlineStr">
        <is>
          <t>MCU</t>
        </is>
      </c>
      <c r="H52" t="n">
        <v>480</v>
      </c>
      <c r="I52" t="n">
        <v>250</v>
      </c>
      <c r="J52" t="n">
        <v>100</v>
      </c>
      <c r="K52" t="n">
        <v>350</v>
      </c>
      <c r="L52" t="n">
        <v>130</v>
      </c>
      <c r="M52" s="3" t="n">
        <v>1950000</v>
      </c>
      <c r="N52" t="n">
        <v>0</v>
      </c>
      <c r="O52" s="3" t="n">
        <v>0</v>
      </c>
      <c r="P52" t="inlineStr">
        <is>
          <t>Supplier E</t>
        </is>
      </c>
      <c r="Q52" t="n">
        <v>40</v>
      </c>
      <c r="R52" t="n">
        <v>100</v>
      </c>
      <c r="S52" t="n">
        <v>15000</v>
      </c>
      <c r="T52" t="n">
        <v>200</v>
      </c>
      <c r="U52" s="3" t="n">
        <v>3000000</v>
      </c>
      <c r="V52" s="2" t="n">
        <v>46196</v>
      </c>
      <c r="W52" s="5" t="inlineStr">
        <is>
          <t>Medium</t>
        </is>
      </c>
    </row>
    <row r="53">
      <c r="A53" t="inlineStr">
        <is>
          <t>2026-W37</t>
        </is>
      </c>
      <c r="B53" t="inlineStr">
        <is>
          <t>2026-09</t>
        </is>
      </c>
      <c r="C53" s="2" t="n">
        <v>46272</v>
      </c>
      <c r="D53" s="2" t="n">
        <v>46278</v>
      </c>
      <c r="E53" s="2" t="n">
        <v>46295</v>
      </c>
      <c r="F53" t="inlineStr">
        <is>
          <t>MAT-011</t>
        </is>
      </c>
      <c r="G53" t="inlineStr">
        <is>
          <t>Connector</t>
        </is>
      </c>
      <c r="H53" t="n">
        <v>2000</v>
      </c>
      <c r="I53" t="n">
        <v>900</v>
      </c>
      <c r="J53" t="n">
        <v>0</v>
      </c>
      <c r="K53" t="n">
        <v>900</v>
      </c>
      <c r="L53" t="n">
        <v>1100</v>
      </c>
      <c r="M53" s="3" t="n">
        <v>1650000</v>
      </c>
      <c r="N53" t="n">
        <v>0</v>
      </c>
      <c r="O53" s="3" t="n">
        <v>0</v>
      </c>
      <c r="P53" t="inlineStr">
        <is>
          <t>Supplier A</t>
        </is>
      </c>
      <c r="Q53" t="n">
        <v>30</v>
      </c>
      <c r="R53" t="n">
        <v>200</v>
      </c>
      <c r="S53" t="n">
        <v>1500</v>
      </c>
      <c r="T53" t="n">
        <v>1200</v>
      </c>
      <c r="U53" s="3" t="n">
        <v>1800000</v>
      </c>
      <c r="V53" s="2" t="n">
        <v>46248</v>
      </c>
      <c r="W53" s="5" t="inlineStr">
        <is>
          <t>Medium</t>
        </is>
      </c>
    </row>
    <row r="54">
      <c r="A54" t="inlineStr">
        <is>
          <t>2026-W35</t>
        </is>
      </c>
      <c r="B54" t="inlineStr">
        <is>
          <t>2026-08</t>
        </is>
      </c>
      <c r="C54" s="2" t="n">
        <v>46258</v>
      </c>
      <c r="D54" s="2" t="n">
        <v>46264</v>
      </c>
      <c r="E54" s="2" t="n">
        <v>46265</v>
      </c>
      <c r="F54" t="inlineStr">
        <is>
          <t>MAT-011</t>
        </is>
      </c>
      <c r="G54" t="inlineStr">
        <is>
          <t>Connector</t>
        </is>
      </c>
      <c r="H54" t="n">
        <v>1810</v>
      </c>
      <c r="I54" t="n">
        <v>900</v>
      </c>
      <c r="J54" t="n">
        <v>0</v>
      </c>
      <c r="K54" t="n">
        <v>900</v>
      </c>
      <c r="L54" t="n">
        <v>910</v>
      </c>
      <c r="M54" s="3" t="n">
        <v>1365000</v>
      </c>
      <c r="N54" t="n">
        <v>0</v>
      </c>
      <c r="O54" s="3" t="n">
        <v>0</v>
      </c>
      <c r="P54" t="inlineStr">
        <is>
          <t>Supplier A</t>
        </is>
      </c>
      <c r="Q54" t="n">
        <v>30</v>
      </c>
      <c r="R54" t="n">
        <v>200</v>
      </c>
      <c r="S54" t="n">
        <v>1500</v>
      </c>
      <c r="T54" t="n">
        <v>1000</v>
      </c>
      <c r="U54" s="3" t="n">
        <v>1500000</v>
      </c>
      <c r="V54" s="2" t="n">
        <v>46234</v>
      </c>
      <c r="W54" s="5" t="inlineStr">
        <is>
          <t>Medium</t>
        </is>
      </c>
    </row>
    <row r="55">
      <c r="A55" t="inlineStr">
        <is>
          <t>2026-W29</t>
        </is>
      </c>
      <c r="B55" t="inlineStr">
        <is>
          <t>2026-07</t>
        </is>
      </c>
      <c r="C55" s="2" t="n">
        <v>46216</v>
      </c>
      <c r="D55" s="2" t="n">
        <v>46222</v>
      </c>
      <c r="E55" s="2" t="n">
        <v>46234</v>
      </c>
      <c r="F55" t="inlineStr">
        <is>
          <t>MAT-006</t>
        </is>
      </c>
      <c r="G55" t="inlineStr">
        <is>
          <t>MCU</t>
        </is>
      </c>
      <c r="H55" t="n">
        <v>440</v>
      </c>
      <c r="I55" t="n">
        <v>250</v>
      </c>
      <c r="J55" t="n">
        <v>100</v>
      </c>
      <c r="K55" t="n">
        <v>350</v>
      </c>
      <c r="L55" t="n">
        <v>90</v>
      </c>
      <c r="M55" s="3" t="n">
        <v>1350000</v>
      </c>
      <c r="N55" t="n">
        <v>0</v>
      </c>
      <c r="O55" s="3" t="n">
        <v>0</v>
      </c>
      <c r="P55" t="inlineStr">
        <is>
          <t>Supplier E</t>
        </is>
      </c>
      <c r="Q55" t="n">
        <v>40</v>
      </c>
      <c r="R55" t="n">
        <v>100</v>
      </c>
      <c r="S55" t="n">
        <v>15000</v>
      </c>
      <c r="T55" t="n">
        <v>100</v>
      </c>
      <c r="U55" s="3" t="n">
        <v>1500000</v>
      </c>
      <c r="V55" s="2" t="n">
        <v>46182</v>
      </c>
      <c r="W55" s="5" t="inlineStr">
        <is>
          <t>Medium</t>
        </is>
      </c>
    </row>
    <row r="56">
      <c r="A56" t="inlineStr">
        <is>
          <t>2026-W37</t>
        </is>
      </c>
      <c r="B56" t="inlineStr">
        <is>
          <t>2026-09</t>
        </is>
      </c>
      <c r="C56" s="2" t="n">
        <v>46272</v>
      </c>
      <c r="D56" s="2" t="n">
        <v>46278</v>
      </c>
      <c r="E56" s="2" t="n">
        <v>46295</v>
      </c>
      <c r="F56" t="inlineStr">
        <is>
          <t>MAT-001</t>
        </is>
      </c>
      <c r="G56" t="inlineStr">
        <is>
          <t>PCB Main Board</t>
        </is>
      </c>
      <c r="H56" t="n">
        <v>1360</v>
      </c>
      <c r="I56" t="n">
        <v>800</v>
      </c>
      <c r="J56" t="n">
        <v>300</v>
      </c>
      <c r="K56" t="n">
        <v>1100</v>
      </c>
      <c r="L56" t="n">
        <v>260</v>
      </c>
      <c r="M56" s="3" t="n">
        <v>1300000</v>
      </c>
      <c r="N56" t="n">
        <v>0</v>
      </c>
      <c r="O56" s="3" t="n">
        <v>0</v>
      </c>
      <c r="P56" t="inlineStr">
        <is>
          <t>Supplier A</t>
        </is>
      </c>
      <c r="Q56" t="n">
        <v>30</v>
      </c>
      <c r="R56" t="n">
        <v>100</v>
      </c>
      <c r="S56" t="n">
        <v>5000</v>
      </c>
      <c r="T56" t="n">
        <v>300</v>
      </c>
      <c r="U56" s="3" t="n">
        <v>1500000</v>
      </c>
      <c r="V56" s="2" t="n">
        <v>46248</v>
      </c>
      <c r="W56" s="5" t="inlineStr">
        <is>
          <t>Medium</t>
        </is>
      </c>
    </row>
    <row r="57">
      <c r="A57" t="inlineStr">
        <is>
          <t>2026-W37</t>
        </is>
      </c>
      <c r="B57" t="inlineStr">
        <is>
          <t>2026-09</t>
        </is>
      </c>
      <c r="C57" s="2" t="n">
        <v>46272</v>
      </c>
      <c r="D57" s="2" t="n">
        <v>46278</v>
      </c>
      <c r="E57" s="2" t="n">
        <v>46295</v>
      </c>
      <c r="F57" t="inlineStr">
        <is>
          <t>MAT-012</t>
        </is>
      </c>
      <c r="G57" t="inlineStr">
        <is>
          <t>Thermal Pad</t>
        </is>
      </c>
      <c r="H57" t="n">
        <v>1440</v>
      </c>
      <c r="I57" t="n">
        <v>0</v>
      </c>
      <c r="J57" t="n">
        <v>0</v>
      </c>
      <c r="K57" t="n">
        <v>0</v>
      </c>
      <c r="L57" t="n">
        <v>1440</v>
      </c>
      <c r="M57" s="3" t="n">
        <v>1152000</v>
      </c>
      <c r="N57" t="n">
        <v>0</v>
      </c>
      <c r="O57" s="3" t="n">
        <v>0</v>
      </c>
      <c r="P57" t="inlineStr">
        <is>
          <t>Supplier H</t>
        </is>
      </c>
      <c r="Q57" t="n">
        <v>25</v>
      </c>
      <c r="R57" t="n">
        <v>500</v>
      </c>
      <c r="S57" t="n">
        <v>800</v>
      </c>
      <c r="T57" t="n">
        <v>1500</v>
      </c>
      <c r="U57" s="3" t="n">
        <v>1200000</v>
      </c>
      <c r="V57" s="2" t="n">
        <v>46253</v>
      </c>
      <c r="W57" s="5" t="inlineStr">
        <is>
          <t>Medium</t>
        </is>
      </c>
    </row>
    <row r="58">
      <c r="A58" t="inlineStr">
        <is>
          <t>2026-W35</t>
        </is>
      </c>
      <c r="B58" t="inlineStr">
        <is>
          <t>2026-08</t>
        </is>
      </c>
      <c r="C58" s="2" t="n">
        <v>46258</v>
      </c>
      <c r="D58" s="2" t="n">
        <v>46264</v>
      </c>
      <c r="E58" s="2" t="n">
        <v>46265</v>
      </c>
      <c r="F58" t="inlineStr">
        <is>
          <t>MAT-012</t>
        </is>
      </c>
      <c r="G58" t="inlineStr">
        <is>
          <t>Thermal Pad</t>
        </is>
      </c>
      <c r="H58" t="n">
        <v>1360</v>
      </c>
      <c r="I58" t="n">
        <v>0</v>
      </c>
      <c r="J58" t="n">
        <v>0</v>
      </c>
      <c r="K58" t="n">
        <v>0</v>
      </c>
      <c r="L58" t="n">
        <v>1360</v>
      </c>
      <c r="M58" s="3" t="n">
        <v>1088000</v>
      </c>
      <c r="N58" t="n">
        <v>0</v>
      </c>
      <c r="O58" s="3" t="n">
        <v>0</v>
      </c>
      <c r="P58" t="inlineStr">
        <is>
          <t>Supplier H</t>
        </is>
      </c>
      <c r="Q58" t="n">
        <v>25</v>
      </c>
      <c r="R58" t="n">
        <v>500</v>
      </c>
      <c r="S58" t="n">
        <v>800</v>
      </c>
      <c r="T58" t="n">
        <v>1500</v>
      </c>
      <c r="U58" s="3" t="n">
        <v>1200000</v>
      </c>
      <c r="V58" s="2" t="n">
        <v>46239</v>
      </c>
      <c r="W58" s="5" t="inlineStr">
        <is>
          <t>Medium</t>
        </is>
      </c>
    </row>
    <row r="59">
      <c r="A59" t="inlineStr">
        <is>
          <t>2026-W33</t>
        </is>
      </c>
      <c r="B59" t="inlineStr">
        <is>
          <t>2026-08</t>
        </is>
      </c>
      <c r="C59" s="2" t="n">
        <v>46244</v>
      </c>
      <c r="D59" s="2" t="n">
        <v>46250</v>
      </c>
      <c r="E59" s="2" t="n">
        <v>46265</v>
      </c>
      <c r="F59" t="inlineStr">
        <is>
          <t>MAT-012</t>
        </is>
      </c>
      <c r="G59" t="inlineStr">
        <is>
          <t>Thermal Pad</t>
        </is>
      </c>
      <c r="H59" t="n">
        <v>1280</v>
      </c>
      <c r="I59" t="n">
        <v>0</v>
      </c>
      <c r="J59" t="n">
        <v>0</v>
      </c>
      <c r="K59" t="n">
        <v>0</v>
      </c>
      <c r="L59" t="n">
        <v>1280</v>
      </c>
      <c r="M59" s="3" t="n">
        <v>1024000</v>
      </c>
      <c r="N59" t="n">
        <v>0</v>
      </c>
      <c r="O59" s="3" t="n">
        <v>0</v>
      </c>
      <c r="P59" t="inlineStr">
        <is>
          <t>Supplier H</t>
        </is>
      </c>
      <c r="Q59" t="n">
        <v>25</v>
      </c>
      <c r="R59" t="n">
        <v>500</v>
      </c>
      <c r="S59" t="n">
        <v>800</v>
      </c>
      <c r="T59" t="n">
        <v>1500</v>
      </c>
      <c r="U59" s="3" t="n">
        <v>1200000</v>
      </c>
      <c r="V59" s="2" t="n">
        <v>46225</v>
      </c>
      <c r="W59" s="5" t="inlineStr">
        <is>
          <t>Medium</t>
        </is>
      </c>
    </row>
    <row r="60">
      <c r="A60" t="inlineStr">
        <is>
          <t>2026-W33</t>
        </is>
      </c>
      <c r="B60" t="inlineStr">
        <is>
          <t>2026-08</t>
        </is>
      </c>
      <c r="C60" s="2" t="n">
        <v>46244</v>
      </c>
      <c r="D60" s="2" t="n">
        <v>46250</v>
      </c>
      <c r="E60" s="2" t="n">
        <v>46265</v>
      </c>
      <c r="F60" t="inlineStr">
        <is>
          <t>MAT-011</t>
        </is>
      </c>
      <c r="G60" t="inlineStr">
        <is>
          <t>Connector</t>
        </is>
      </c>
      <c r="H60" t="n">
        <v>1570</v>
      </c>
      <c r="I60" t="n">
        <v>900</v>
      </c>
      <c r="J60" t="n">
        <v>0</v>
      </c>
      <c r="K60" t="n">
        <v>900</v>
      </c>
      <c r="L60" t="n">
        <v>670</v>
      </c>
      <c r="M60" s="3" t="n">
        <v>1005000</v>
      </c>
      <c r="N60" t="n">
        <v>0</v>
      </c>
      <c r="O60" s="3" t="n">
        <v>0</v>
      </c>
      <c r="P60" t="inlineStr">
        <is>
          <t>Supplier A</t>
        </is>
      </c>
      <c r="Q60" t="n">
        <v>30</v>
      </c>
      <c r="R60" t="n">
        <v>200</v>
      </c>
      <c r="S60" t="n">
        <v>1500</v>
      </c>
      <c r="T60" t="n">
        <v>800</v>
      </c>
      <c r="U60" s="3" t="n">
        <v>1200000</v>
      </c>
      <c r="V60" s="2" t="n">
        <v>46220</v>
      </c>
      <c r="W60" s="5" t="inlineStr">
        <is>
          <t>Medium</t>
        </is>
      </c>
    </row>
    <row r="61">
      <c r="A61" t="inlineStr">
        <is>
          <t>2026-W29</t>
        </is>
      </c>
      <c r="B61" t="inlineStr">
        <is>
          <t>2026-07</t>
        </is>
      </c>
      <c r="C61" s="2" t="n">
        <v>46216</v>
      </c>
      <c r="D61" s="2" t="n">
        <v>46222</v>
      </c>
      <c r="E61" s="2" t="n">
        <v>46234</v>
      </c>
      <c r="F61" t="inlineStr">
        <is>
          <t>MAT-012</t>
        </is>
      </c>
      <c r="G61" t="inlineStr">
        <is>
          <t>Thermal Pad</t>
        </is>
      </c>
      <c r="H61" t="n">
        <v>1200</v>
      </c>
      <c r="I61" t="n">
        <v>0</v>
      </c>
      <c r="J61" t="n">
        <v>0</v>
      </c>
      <c r="K61" t="n">
        <v>0</v>
      </c>
      <c r="L61" t="n">
        <v>1200</v>
      </c>
      <c r="M61" s="3" t="n">
        <v>960000</v>
      </c>
      <c r="N61" t="n">
        <v>0</v>
      </c>
      <c r="O61" s="3" t="n">
        <v>0</v>
      </c>
      <c r="P61" t="inlineStr">
        <is>
          <t>Supplier H</t>
        </is>
      </c>
      <c r="Q61" t="n">
        <v>25</v>
      </c>
      <c r="R61" t="n">
        <v>500</v>
      </c>
      <c r="S61" t="n">
        <v>800</v>
      </c>
      <c r="T61" t="n">
        <v>1500</v>
      </c>
      <c r="U61" s="3" t="n">
        <v>1200000</v>
      </c>
      <c r="V61" s="2" t="n">
        <v>46197</v>
      </c>
      <c r="W61" s="5" t="inlineStr">
        <is>
          <t>Medium</t>
        </is>
      </c>
    </row>
    <row r="62">
      <c r="A62" t="inlineStr">
        <is>
          <t>2026-W31</t>
        </is>
      </c>
      <c r="B62" t="inlineStr">
        <is>
          <t>2026-08</t>
        </is>
      </c>
      <c r="C62" s="2" t="n">
        <v>46230</v>
      </c>
      <c r="D62" s="2" t="n">
        <v>46236</v>
      </c>
      <c r="E62" s="2" t="n">
        <v>46265</v>
      </c>
      <c r="F62" t="inlineStr">
        <is>
          <t>MAT-012</t>
        </is>
      </c>
      <c r="G62" t="inlineStr">
        <is>
          <t>Thermal Pad</t>
        </is>
      </c>
      <c r="H62" t="n">
        <v>1120</v>
      </c>
      <c r="I62" t="n">
        <v>0</v>
      </c>
      <c r="J62" t="n">
        <v>0</v>
      </c>
      <c r="K62" t="n">
        <v>0</v>
      </c>
      <c r="L62" t="n">
        <v>1120</v>
      </c>
      <c r="M62" s="3" t="n">
        <v>896000</v>
      </c>
      <c r="N62" t="n">
        <v>0</v>
      </c>
      <c r="O62" s="3" t="n">
        <v>0</v>
      </c>
      <c r="P62" t="inlineStr">
        <is>
          <t>Supplier H</t>
        </is>
      </c>
      <c r="Q62" t="n">
        <v>25</v>
      </c>
      <c r="R62" t="n">
        <v>500</v>
      </c>
      <c r="S62" t="n">
        <v>800</v>
      </c>
      <c r="T62" t="n">
        <v>1500</v>
      </c>
      <c r="U62" s="3" t="n">
        <v>1200000</v>
      </c>
      <c r="V62" s="2" t="n">
        <v>46211</v>
      </c>
      <c r="W62" s="5" t="inlineStr">
        <is>
          <t>Medium</t>
        </is>
      </c>
    </row>
    <row r="63">
      <c r="A63" t="inlineStr">
        <is>
          <t>2026-W27</t>
        </is>
      </c>
      <c r="B63" t="inlineStr">
        <is>
          <t>2026-07</t>
        </is>
      </c>
      <c r="C63" s="2" t="n">
        <v>46202</v>
      </c>
      <c r="D63" s="2" t="n">
        <v>46208</v>
      </c>
      <c r="E63" s="2" t="n">
        <v>46234</v>
      </c>
      <c r="F63" t="inlineStr">
        <is>
          <t>MAT-012</t>
        </is>
      </c>
      <c r="G63" t="inlineStr">
        <is>
          <t>Thermal Pad</t>
        </is>
      </c>
      <c r="H63" t="n">
        <v>1000</v>
      </c>
      <c r="I63" t="n">
        <v>0</v>
      </c>
      <c r="J63" t="n">
        <v>0</v>
      </c>
      <c r="K63" t="n">
        <v>0</v>
      </c>
      <c r="L63" t="n">
        <v>1000</v>
      </c>
      <c r="M63" s="3" t="n">
        <v>800000</v>
      </c>
      <c r="N63" t="n">
        <v>0</v>
      </c>
      <c r="O63" s="3" t="n">
        <v>0</v>
      </c>
      <c r="P63" t="inlineStr">
        <is>
          <t>Supplier H</t>
        </is>
      </c>
      <c r="Q63" t="n">
        <v>25</v>
      </c>
      <c r="R63" t="n">
        <v>500</v>
      </c>
      <c r="S63" t="n">
        <v>800</v>
      </c>
      <c r="T63" t="n">
        <v>1000</v>
      </c>
      <c r="U63" s="3" t="n">
        <v>800000</v>
      </c>
      <c r="V63" s="2" t="n">
        <v>46183</v>
      </c>
      <c r="W63" s="5" t="inlineStr">
        <is>
          <t>Medium</t>
        </is>
      </c>
    </row>
    <row r="64">
      <c r="A64" t="inlineStr">
        <is>
          <t>2026-W36</t>
        </is>
      </c>
      <c r="B64" t="inlineStr">
        <is>
          <t>2026-09</t>
        </is>
      </c>
      <c r="C64" s="2" t="n">
        <v>46265</v>
      </c>
      <c r="D64" s="2" t="n">
        <v>46271</v>
      </c>
      <c r="E64" s="2" t="n">
        <v>46295</v>
      </c>
      <c r="F64" t="inlineStr">
        <is>
          <t>MAT-011</t>
        </is>
      </c>
      <c r="G64" t="inlineStr">
        <is>
          <t>Connector</t>
        </is>
      </c>
      <c r="H64" t="n">
        <v>1410</v>
      </c>
      <c r="I64" t="n">
        <v>900</v>
      </c>
      <c r="J64" t="n">
        <v>0</v>
      </c>
      <c r="K64" t="n">
        <v>900</v>
      </c>
      <c r="L64" t="n">
        <v>510</v>
      </c>
      <c r="M64" s="3" t="n">
        <v>765000</v>
      </c>
      <c r="N64" t="n">
        <v>0</v>
      </c>
      <c r="O64" s="3" t="n">
        <v>0</v>
      </c>
      <c r="P64" t="inlineStr">
        <is>
          <t>Supplier A</t>
        </is>
      </c>
      <c r="Q64" t="n">
        <v>30</v>
      </c>
      <c r="R64" t="n">
        <v>200</v>
      </c>
      <c r="S64" t="n">
        <v>1500</v>
      </c>
      <c r="T64" t="n">
        <v>600</v>
      </c>
      <c r="U64" s="3" t="n">
        <v>900000</v>
      </c>
      <c r="V64" s="2" t="n">
        <v>46241</v>
      </c>
      <c r="W64" s="5" t="inlineStr">
        <is>
          <t>Medium</t>
        </is>
      </c>
    </row>
    <row r="65">
      <c r="A65" t="inlineStr">
        <is>
          <t>2026-W27</t>
        </is>
      </c>
      <c r="B65" t="inlineStr">
        <is>
          <t>2026-07</t>
        </is>
      </c>
      <c r="C65" s="2" t="n">
        <v>46202</v>
      </c>
      <c r="D65" s="2" t="n">
        <v>46208</v>
      </c>
      <c r="E65" s="2" t="n">
        <v>46234</v>
      </c>
      <c r="F65" t="inlineStr">
        <is>
          <t>MAT-006</t>
        </is>
      </c>
      <c r="G65" t="inlineStr">
        <is>
          <t>MCU</t>
        </is>
      </c>
      <c r="H65" t="n">
        <v>400</v>
      </c>
      <c r="I65" t="n">
        <v>250</v>
      </c>
      <c r="J65" t="n">
        <v>100</v>
      </c>
      <c r="K65" t="n">
        <v>350</v>
      </c>
      <c r="L65" t="n">
        <v>50</v>
      </c>
      <c r="M65" s="3" t="n">
        <v>750000</v>
      </c>
      <c r="N65" t="n">
        <v>0</v>
      </c>
      <c r="O65" s="3" t="n">
        <v>0</v>
      </c>
      <c r="P65" t="inlineStr">
        <is>
          <t>Supplier E</t>
        </is>
      </c>
      <c r="Q65" t="n">
        <v>40</v>
      </c>
      <c r="R65" t="n">
        <v>100</v>
      </c>
      <c r="S65" t="n">
        <v>15000</v>
      </c>
      <c r="T65" t="n">
        <v>100</v>
      </c>
      <c r="U65" s="3" t="n">
        <v>1500000</v>
      </c>
      <c r="V65" s="2" t="n">
        <v>46168</v>
      </c>
      <c r="W65" s="5" t="inlineStr">
        <is>
          <t>Medium</t>
        </is>
      </c>
    </row>
    <row r="66">
      <c r="A66" t="inlineStr">
        <is>
          <t>2026-W29</t>
        </is>
      </c>
      <c r="B66" t="inlineStr">
        <is>
          <t>2026-07</t>
        </is>
      </c>
      <c r="C66" s="2" t="n">
        <v>46216</v>
      </c>
      <c r="D66" s="2" t="n">
        <v>46222</v>
      </c>
      <c r="E66" s="2" t="n">
        <v>46234</v>
      </c>
      <c r="F66" t="inlineStr">
        <is>
          <t>MAT-011</t>
        </is>
      </c>
      <c r="G66" t="inlineStr">
        <is>
          <t>Connector</t>
        </is>
      </c>
      <c r="H66" t="n">
        <v>1370</v>
      </c>
      <c r="I66" t="n">
        <v>900</v>
      </c>
      <c r="J66" t="n">
        <v>0</v>
      </c>
      <c r="K66" t="n">
        <v>900</v>
      </c>
      <c r="L66" t="n">
        <v>470</v>
      </c>
      <c r="M66" s="3" t="n">
        <v>705000</v>
      </c>
      <c r="N66" t="n">
        <v>0</v>
      </c>
      <c r="O66" s="3" t="n">
        <v>0</v>
      </c>
      <c r="P66" t="inlineStr">
        <is>
          <t>Supplier A</t>
        </is>
      </c>
      <c r="Q66" t="n">
        <v>30</v>
      </c>
      <c r="R66" t="n">
        <v>200</v>
      </c>
      <c r="S66" t="n">
        <v>1500</v>
      </c>
      <c r="T66" t="n">
        <v>600</v>
      </c>
      <c r="U66" s="3" t="n">
        <v>900000</v>
      </c>
      <c r="V66" s="2" t="n">
        <v>46192</v>
      </c>
      <c r="W66" s="5" t="inlineStr">
        <is>
          <t>Medium</t>
        </is>
      </c>
    </row>
    <row r="67">
      <c r="A67" t="inlineStr">
        <is>
          <t>2026-W35</t>
        </is>
      </c>
      <c r="B67" t="inlineStr">
        <is>
          <t>2026-08</t>
        </is>
      </c>
      <c r="C67" s="2" t="n">
        <v>46258</v>
      </c>
      <c r="D67" s="2" t="n">
        <v>46264</v>
      </c>
      <c r="E67" s="2" t="n">
        <v>46265</v>
      </c>
      <c r="F67" t="inlineStr">
        <is>
          <t>MAT-001</t>
        </is>
      </c>
      <c r="G67" t="inlineStr">
        <is>
          <t>PCB Main Board</t>
        </is>
      </c>
      <c r="H67" t="n">
        <v>1240</v>
      </c>
      <c r="I67" t="n">
        <v>800</v>
      </c>
      <c r="J67" t="n">
        <v>300</v>
      </c>
      <c r="K67" t="n">
        <v>1100</v>
      </c>
      <c r="L67" t="n">
        <v>140</v>
      </c>
      <c r="M67" s="3" t="n">
        <v>700000</v>
      </c>
      <c r="N67" t="n">
        <v>0</v>
      </c>
      <c r="O67" s="3" t="n">
        <v>0</v>
      </c>
      <c r="P67" t="inlineStr">
        <is>
          <t>Supplier A</t>
        </is>
      </c>
      <c r="Q67" t="n">
        <v>30</v>
      </c>
      <c r="R67" t="n">
        <v>100</v>
      </c>
      <c r="S67" t="n">
        <v>5000</v>
      </c>
      <c r="T67" t="n">
        <v>200</v>
      </c>
      <c r="U67" s="3" t="n">
        <v>1000000</v>
      </c>
      <c r="V67" s="2" t="n">
        <v>46234</v>
      </c>
      <c r="W67" s="5" t="inlineStr">
        <is>
          <t>Medium</t>
        </is>
      </c>
    </row>
    <row r="68">
      <c r="A68" t="inlineStr">
        <is>
          <t>2026-W38</t>
        </is>
      </c>
      <c r="B68" t="inlineStr">
        <is>
          <t>2026-09</t>
        </is>
      </c>
      <c r="C68" s="2" t="n">
        <v>46279</v>
      </c>
      <c r="D68" s="2" t="n">
        <v>46285</v>
      </c>
      <c r="E68" s="2" t="n">
        <v>46295</v>
      </c>
      <c r="F68" t="inlineStr">
        <is>
          <t>MAT-017</t>
        </is>
      </c>
      <c r="G68" t="inlineStr">
        <is>
          <t>Shield Can</t>
        </is>
      </c>
      <c r="H68" t="n">
        <v>460</v>
      </c>
      <c r="I68" t="n">
        <v>200</v>
      </c>
      <c r="J68" t="n">
        <v>0</v>
      </c>
      <c r="K68" t="n">
        <v>200</v>
      </c>
      <c r="L68" t="n">
        <v>260</v>
      </c>
      <c r="M68" s="3" t="n">
        <v>650000</v>
      </c>
      <c r="N68" t="n">
        <v>0</v>
      </c>
      <c r="O68" s="3" t="n">
        <v>0</v>
      </c>
      <c r="P68" t="inlineStr">
        <is>
          <t>Supplier M</t>
        </is>
      </c>
      <c r="Q68" t="n">
        <v>35</v>
      </c>
      <c r="R68" t="n">
        <v>100</v>
      </c>
      <c r="S68" t="n">
        <v>2500</v>
      </c>
      <c r="T68" t="n">
        <v>300</v>
      </c>
      <c r="U68" s="3" t="n">
        <v>750000</v>
      </c>
      <c r="V68" s="2" t="n">
        <v>46250</v>
      </c>
      <c r="W68" s="5" t="inlineStr">
        <is>
          <t>Medium</t>
        </is>
      </c>
    </row>
    <row r="69">
      <c r="A69" t="inlineStr">
        <is>
          <t>2026-W36</t>
        </is>
      </c>
      <c r="B69" t="inlineStr">
        <is>
          <t>2026-09</t>
        </is>
      </c>
      <c r="C69" s="2" t="n">
        <v>46265</v>
      </c>
      <c r="D69" s="2" t="n">
        <v>46271</v>
      </c>
      <c r="E69" s="2" t="n">
        <v>46295</v>
      </c>
      <c r="F69" t="inlineStr">
        <is>
          <t>MAT-017</t>
        </is>
      </c>
      <c r="G69" t="inlineStr">
        <is>
          <t>Shield Can</t>
        </is>
      </c>
      <c r="H69" t="n">
        <v>420</v>
      </c>
      <c r="I69" t="n">
        <v>200</v>
      </c>
      <c r="J69" t="n">
        <v>0</v>
      </c>
      <c r="K69" t="n">
        <v>200</v>
      </c>
      <c r="L69" t="n">
        <v>220</v>
      </c>
      <c r="M69" s="3" t="n">
        <v>550000</v>
      </c>
      <c r="N69" t="n">
        <v>0</v>
      </c>
      <c r="O69" s="3" t="n">
        <v>0</v>
      </c>
      <c r="P69" t="inlineStr">
        <is>
          <t>Supplier M</t>
        </is>
      </c>
      <c r="Q69" t="n">
        <v>35</v>
      </c>
      <c r="R69" t="n">
        <v>100</v>
      </c>
      <c r="S69" t="n">
        <v>2500</v>
      </c>
      <c r="T69" t="n">
        <v>300</v>
      </c>
      <c r="U69" s="3" t="n">
        <v>750000</v>
      </c>
      <c r="V69" s="2" t="n">
        <v>46236</v>
      </c>
      <c r="W69" s="5" t="inlineStr">
        <is>
          <t>Medium</t>
        </is>
      </c>
    </row>
    <row r="70">
      <c r="A70" t="inlineStr">
        <is>
          <t>2026-W32</t>
        </is>
      </c>
      <c r="B70" t="inlineStr">
        <is>
          <t>2026-08</t>
        </is>
      </c>
      <c r="C70" s="2" t="n">
        <v>46237</v>
      </c>
      <c r="D70" s="2" t="n">
        <v>46243</v>
      </c>
      <c r="E70" s="2" t="n">
        <v>46265</v>
      </c>
      <c r="F70" t="inlineStr">
        <is>
          <t>MAT-011</t>
        </is>
      </c>
      <c r="G70" t="inlineStr">
        <is>
          <t>Connector</t>
        </is>
      </c>
      <c r="H70" t="n">
        <v>1260</v>
      </c>
      <c r="I70" t="n">
        <v>900</v>
      </c>
      <c r="J70" t="n">
        <v>0</v>
      </c>
      <c r="K70" t="n">
        <v>900</v>
      </c>
      <c r="L70" t="n">
        <v>360</v>
      </c>
      <c r="M70" s="3" t="n">
        <v>540000</v>
      </c>
      <c r="N70" t="n">
        <v>0</v>
      </c>
      <c r="O70" s="3" t="n">
        <v>0</v>
      </c>
      <c r="P70" t="inlineStr">
        <is>
          <t>Supplier A</t>
        </is>
      </c>
      <c r="Q70" t="n">
        <v>30</v>
      </c>
      <c r="R70" t="n">
        <v>200</v>
      </c>
      <c r="S70" t="n">
        <v>1500</v>
      </c>
      <c r="T70" t="n">
        <v>400</v>
      </c>
      <c r="U70" s="3" t="n">
        <v>600000</v>
      </c>
      <c r="V70" s="2" t="n">
        <v>46213</v>
      </c>
      <c r="W70" s="5" t="inlineStr">
        <is>
          <t>Medium</t>
        </is>
      </c>
    </row>
    <row r="71">
      <c r="A71" t="inlineStr">
        <is>
          <t>2026-W28</t>
        </is>
      </c>
      <c r="B71" t="inlineStr">
        <is>
          <t>2026-07</t>
        </is>
      </c>
      <c r="C71" s="2" t="n">
        <v>46209</v>
      </c>
      <c r="D71" s="2" t="n">
        <v>46215</v>
      </c>
      <c r="E71" s="2" t="n">
        <v>46234</v>
      </c>
      <c r="F71" t="inlineStr">
        <is>
          <t>MAT-011</t>
        </is>
      </c>
      <c r="G71" t="inlineStr">
        <is>
          <t>Connector</t>
        </is>
      </c>
      <c r="H71" t="n">
        <v>1200</v>
      </c>
      <c r="I71" t="n">
        <v>900</v>
      </c>
      <c r="J71" t="n">
        <v>0</v>
      </c>
      <c r="K71" t="n">
        <v>900</v>
      </c>
      <c r="L71" t="n">
        <v>300</v>
      </c>
      <c r="M71" s="3" t="n">
        <v>450000</v>
      </c>
      <c r="N71" t="n">
        <v>0</v>
      </c>
      <c r="O71" s="3" t="n">
        <v>0</v>
      </c>
      <c r="P71" t="inlineStr">
        <is>
          <t>Supplier A</t>
        </is>
      </c>
      <c r="Q71" t="n">
        <v>30</v>
      </c>
      <c r="R71" t="n">
        <v>200</v>
      </c>
      <c r="S71" t="n">
        <v>1500</v>
      </c>
      <c r="T71" t="n">
        <v>400</v>
      </c>
      <c r="U71" s="3" t="n">
        <v>600000</v>
      </c>
      <c r="V71" s="2" t="n">
        <v>46185</v>
      </c>
      <c r="W71" s="5" t="inlineStr">
        <is>
          <t>Medium</t>
        </is>
      </c>
    </row>
    <row r="72">
      <c r="A72" t="inlineStr">
        <is>
          <t>2026-W34</t>
        </is>
      </c>
      <c r="B72" t="inlineStr">
        <is>
          <t>2026-08</t>
        </is>
      </c>
      <c r="C72" s="2" t="n">
        <v>46251</v>
      </c>
      <c r="D72" s="2" t="n">
        <v>46257</v>
      </c>
      <c r="E72" s="2" t="n">
        <v>46265</v>
      </c>
      <c r="F72" t="inlineStr">
        <is>
          <t>MAT-017</t>
        </is>
      </c>
      <c r="G72" t="inlineStr">
        <is>
          <t>Shield Can</t>
        </is>
      </c>
      <c r="H72" t="n">
        <v>380</v>
      </c>
      <c r="I72" t="n">
        <v>200</v>
      </c>
      <c r="J72" t="n">
        <v>0</v>
      </c>
      <c r="K72" t="n">
        <v>200</v>
      </c>
      <c r="L72" t="n">
        <v>180</v>
      </c>
      <c r="M72" s="3" t="n">
        <v>450000</v>
      </c>
      <c r="N72" t="n">
        <v>0</v>
      </c>
      <c r="O72" s="3" t="n">
        <v>0</v>
      </c>
      <c r="P72" t="inlineStr">
        <is>
          <t>Supplier M</t>
        </is>
      </c>
      <c r="Q72" t="n">
        <v>35</v>
      </c>
      <c r="R72" t="n">
        <v>100</v>
      </c>
      <c r="S72" t="n">
        <v>2500</v>
      </c>
      <c r="T72" t="n">
        <v>200</v>
      </c>
      <c r="U72" s="3" t="n">
        <v>500000</v>
      </c>
      <c r="V72" s="2" t="n">
        <v>46222</v>
      </c>
      <c r="W72" s="5" t="inlineStr">
        <is>
          <t>Medium</t>
        </is>
      </c>
    </row>
    <row r="73">
      <c r="A73" t="inlineStr">
        <is>
          <t>2026-W32</t>
        </is>
      </c>
      <c r="B73" t="inlineStr">
        <is>
          <t>2026-08</t>
        </is>
      </c>
      <c r="C73" s="2" t="n">
        <v>46237</v>
      </c>
      <c r="D73" s="2" t="n">
        <v>46243</v>
      </c>
      <c r="E73" s="2" t="n">
        <v>46265</v>
      </c>
      <c r="F73" t="inlineStr">
        <is>
          <t>MAT-017</t>
        </is>
      </c>
      <c r="G73" t="inlineStr">
        <is>
          <t>Shield Can</t>
        </is>
      </c>
      <c r="H73" t="n">
        <v>360</v>
      </c>
      <c r="I73" t="n">
        <v>200</v>
      </c>
      <c r="J73" t="n">
        <v>0</v>
      </c>
      <c r="K73" t="n">
        <v>200</v>
      </c>
      <c r="L73" t="n">
        <v>160</v>
      </c>
      <c r="M73" s="3" t="n">
        <v>400000</v>
      </c>
      <c r="N73" t="n">
        <v>0</v>
      </c>
      <c r="O73" s="3" t="n">
        <v>0</v>
      </c>
      <c r="P73" t="inlineStr">
        <is>
          <t>Supplier M</t>
        </is>
      </c>
      <c r="Q73" t="n">
        <v>35</v>
      </c>
      <c r="R73" t="n">
        <v>100</v>
      </c>
      <c r="S73" t="n">
        <v>2500</v>
      </c>
      <c r="T73" t="n">
        <v>200</v>
      </c>
      <c r="U73" s="3" t="n">
        <v>500000</v>
      </c>
      <c r="V73" s="2" t="n">
        <v>46208</v>
      </c>
      <c r="W73" s="5" t="inlineStr">
        <is>
          <t>Medium</t>
        </is>
      </c>
    </row>
    <row r="74">
      <c r="A74" t="inlineStr">
        <is>
          <t>2026-W31</t>
        </is>
      </c>
      <c r="B74" t="inlineStr">
        <is>
          <t>2026-08</t>
        </is>
      </c>
      <c r="C74" s="2" t="n">
        <v>46230</v>
      </c>
      <c r="D74" s="2" t="n">
        <v>46236</v>
      </c>
      <c r="E74" s="2" t="n">
        <v>46265</v>
      </c>
      <c r="F74" t="inlineStr">
        <is>
          <t>MAT-011</t>
        </is>
      </c>
      <c r="G74" t="inlineStr">
        <is>
          <t>Connector</t>
        </is>
      </c>
      <c r="H74" t="n">
        <v>1140</v>
      </c>
      <c r="I74" t="n">
        <v>900</v>
      </c>
      <c r="J74" t="n">
        <v>0</v>
      </c>
      <c r="K74" t="n">
        <v>900</v>
      </c>
      <c r="L74" t="n">
        <v>240</v>
      </c>
      <c r="M74" s="3" t="n">
        <v>360000</v>
      </c>
      <c r="N74" t="n">
        <v>0</v>
      </c>
      <c r="O74" s="3" t="n">
        <v>0</v>
      </c>
      <c r="P74" t="inlineStr">
        <is>
          <t>Supplier A</t>
        </is>
      </c>
      <c r="Q74" t="n">
        <v>30</v>
      </c>
      <c r="R74" t="n">
        <v>200</v>
      </c>
      <c r="S74" t="n">
        <v>1500</v>
      </c>
      <c r="T74" t="n">
        <v>400</v>
      </c>
      <c r="U74" s="3" t="n">
        <v>600000</v>
      </c>
      <c r="V74" s="2" t="n">
        <v>46206</v>
      </c>
      <c r="W74" s="5" t="inlineStr">
        <is>
          <t>Medium</t>
        </is>
      </c>
    </row>
    <row r="75">
      <c r="A75" t="inlineStr">
        <is>
          <t>2026-W36</t>
        </is>
      </c>
      <c r="B75" t="inlineStr">
        <is>
          <t>2026-09</t>
        </is>
      </c>
      <c r="C75" s="2" t="n">
        <v>46265</v>
      </c>
      <c r="D75" s="2" t="n">
        <v>46271</v>
      </c>
      <c r="E75" s="2" t="n">
        <v>46295</v>
      </c>
      <c r="F75" t="inlineStr">
        <is>
          <t>MAT-001</t>
        </is>
      </c>
      <c r="G75" t="inlineStr">
        <is>
          <t>PCB Main Board</t>
        </is>
      </c>
      <c r="H75" t="n">
        <v>1150</v>
      </c>
      <c r="I75" t="n">
        <v>800</v>
      </c>
      <c r="J75" t="n">
        <v>300</v>
      </c>
      <c r="K75" t="n">
        <v>1100</v>
      </c>
      <c r="L75" t="n">
        <v>50</v>
      </c>
      <c r="M75" s="3" t="n">
        <v>250000</v>
      </c>
      <c r="N75" t="n">
        <v>0</v>
      </c>
      <c r="O75" s="3" t="n">
        <v>0</v>
      </c>
      <c r="P75" t="inlineStr">
        <is>
          <t>Supplier A</t>
        </is>
      </c>
      <c r="Q75" t="n">
        <v>30</v>
      </c>
      <c r="R75" t="n">
        <v>100</v>
      </c>
      <c r="S75" t="n">
        <v>5000</v>
      </c>
      <c r="T75" t="n">
        <v>100</v>
      </c>
      <c r="U75" s="3" t="n">
        <v>500000</v>
      </c>
      <c r="V75" s="2" t="n">
        <v>46241</v>
      </c>
      <c r="W75" s="5" t="inlineStr">
        <is>
          <t>Medium</t>
        </is>
      </c>
    </row>
    <row r="76">
      <c r="A76" t="inlineStr">
        <is>
          <t>2026-W30</t>
        </is>
      </c>
      <c r="B76" t="inlineStr">
        <is>
          <t>2026-07</t>
        </is>
      </c>
      <c r="C76" s="2" t="n">
        <v>46223</v>
      </c>
      <c r="D76" s="2" t="n">
        <v>46229</v>
      </c>
      <c r="E76" s="2" t="n">
        <v>46234</v>
      </c>
      <c r="F76" t="inlineStr">
        <is>
          <t>MAT-017</t>
        </is>
      </c>
      <c r="G76" t="inlineStr">
        <is>
          <t>Shield Can</t>
        </is>
      </c>
      <c r="H76" t="n">
        <v>300</v>
      </c>
      <c r="I76" t="n">
        <v>200</v>
      </c>
      <c r="J76" t="n">
        <v>0</v>
      </c>
      <c r="K76" t="n">
        <v>200</v>
      </c>
      <c r="L76" t="n">
        <v>100</v>
      </c>
      <c r="M76" s="3" t="n">
        <v>250000</v>
      </c>
      <c r="N76" t="n">
        <v>0</v>
      </c>
      <c r="O76" s="3" t="n">
        <v>0</v>
      </c>
      <c r="P76" t="inlineStr">
        <is>
          <t>Supplier M</t>
        </is>
      </c>
      <c r="Q76" t="n">
        <v>35</v>
      </c>
      <c r="R76" t="n">
        <v>100</v>
      </c>
      <c r="S76" t="n">
        <v>2500</v>
      </c>
      <c r="T76" t="n">
        <v>100</v>
      </c>
      <c r="U76" s="3" t="n">
        <v>250000</v>
      </c>
      <c r="V76" s="2" t="n">
        <v>46194</v>
      </c>
      <c r="W76" s="5" t="inlineStr">
        <is>
          <t>Medium</t>
        </is>
      </c>
    </row>
    <row r="77">
      <c r="A77" t="inlineStr">
        <is>
          <t>2026-W28</t>
        </is>
      </c>
      <c r="B77" t="inlineStr">
        <is>
          <t>2026-07</t>
        </is>
      </c>
      <c r="C77" s="2" t="n">
        <v>46209</v>
      </c>
      <c r="D77" s="2" t="n">
        <v>46215</v>
      </c>
      <c r="E77" s="2" t="n">
        <v>46234</v>
      </c>
      <c r="F77" t="inlineStr">
        <is>
          <t>MAT-017</t>
        </is>
      </c>
      <c r="G77" t="inlineStr">
        <is>
          <t>Shield Can</t>
        </is>
      </c>
      <c r="H77" t="n">
        <v>240</v>
      </c>
      <c r="I77" t="n">
        <v>200</v>
      </c>
      <c r="J77" t="n">
        <v>0</v>
      </c>
      <c r="K77" t="n">
        <v>200</v>
      </c>
      <c r="L77" t="n">
        <v>40</v>
      </c>
      <c r="M77" s="3" t="n">
        <v>100000</v>
      </c>
      <c r="N77" t="n">
        <v>0</v>
      </c>
      <c r="O77" s="3" t="n">
        <v>0</v>
      </c>
      <c r="P77" t="inlineStr">
        <is>
          <t>Supplier M</t>
        </is>
      </c>
      <c r="Q77" t="n">
        <v>35</v>
      </c>
      <c r="R77" t="n">
        <v>100</v>
      </c>
      <c r="S77" t="n">
        <v>2500</v>
      </c>
      <c r="T77" t="n">
        <v>100</v>
      </c>
      <c r="U77" s="3" t="n">
        <v>250000</v>
      </c>
      <c r="V77" s="2" t="n">
        <v>46180</v>
      </c>
      <c r="W77" s="5" t="inlineStr">
        <is>
          <t>Medium</t>
        </is>
      </c>
    </row>
    <row r="78">
      <c r="A78" t="inlineStr">
        <is>
          <t>2026-W27</t>
        </is>
      </c>
      <c r="B78" t="inlineStr">
        <is>
          <t>2026-07</t>
        </is>
      </c>
      <c r="C78" s="2" t="n">
        <v>46202</v>
      </c>
      <c r="D78" s="2" t="n">
        <v>46208</v>
      </c>
      <c r="E78" s="2" t="n">
        <v>46234</v>
      </c>
      <c r="F78" t="inlineStr">
        <is>
          <t>MAT-001</t>
        </is>
      </c>
      <c r="G78" t="inlineStr">
        <is>
          <t>PCB Main Board</t>
        </is>
      </c>
      <c r="H78" t="n">
        <v>850</v>
      </c>
      <c r="I78" t="n">
        <v>800</v>
      </c>
      <c r="J78" t="n">
        <v>300</v>
      </c>
      <c r="K78" t="n">
        <v>1100</v>
      </c>
      <c r="L78" t="n">
        <v>0</v>
      </c>
      <c r="M78" s="3" t="n">
        <v>0</v>
      </c>
      <c r="N78" t="n">
        <v>250</v>
      </c>
      <c r="O78" s="3" t="n">
        <v>1250000</v>
      </c>
      <c r="P78" t="inlineStr">
        <is>
          <t>Supplier A</t>
        </is>
      </c>
      <c r="Q78" t="n">
        <v>30</v>
      </c>
      <c r="R78" t="n">
        <v>100</v>
      </c>
      <c r="S78" t="n">
        <v>5000</v>
      </c>
      <c r="T78" t="n">
        <v>0</v>
      </c>
      <c r="U78" s="3" t="n">
        <v>0</v>
      </c>
      <c r="V78" s="2" t="n">
        <v>46178</v>
      </c>
      <c r="W78" s="6" t="inlineStr">
        <is>
          <t>Low</t>
        </is>
      </c>
    </row>
    <row r="79">
      <c r="A79" t="inlineStr">
        <is>
          <t>2026-W28</t>
        </is>
      </c>
      <c r="B79" t="inlineStr">
        <is>
          <t>2026-07</t>
        </is>
      </c>
      <c r="C79" s="2" t="n">
        <v>46209</v>
      </c>
      <c r="D79" s="2" t="n">
        <v>46215</v>
      </c>
      <c r="E79" s="2" t="n">
        <v>46234</v>
      </c>
      <c r="F79" t="inlineStr">
        <is>
          <t>MAT-001</t>
        </is>
      </c>
      <c r="G79" t="inlineStr">
        <is>
          <t>PCB Main Board</t>
        </is>
      </c>
      <c r="H79" t="n">
        <v>920</v>
      </c>
      <c r="I79" t="n">
        <v>800</v>
      </c>
      <c r="J79" t="n">
        <v>300</v>
      </c>
      <c r="K79" t="n">
        <v>1100</v>
      </c>
      <c r="L79" t="n">
        <v>0</v>
      </c>
      <c r="M79" s="3" t="n">
        <v>0</v>
      </c>
      <c r="N79" t="n">
        <v>180</v>
      </c>
      <c r="O79" s="3" t="n">
        <v>900000</v>
      </c>
      <c r="P79" t="inlineStr">
        <is>
          <t>Supplier A</t>
        </is>
      </c>
      <c r="Q79" t="n">
        <v>30</v>
      </c>
      <c r="R79" t="n">
        <v>100</v>
      </c>
      <c r="S79" t="n">
        <v>5000</v>
      </c>
      <c r="T79" t="n">
        <v>0</v>
      </c>
      <c r="U79" s="3" t="n">
        <v>0</v>
      </c>
      <c r="V79" s="2" t="n">
        <v>46185</v>
      </c>
      <c r="W79" s="6" t="inlineStr">
        <is>
          <t>Low</t>
        </is>
      </c>
    </row>
    <row r="80">
      <c r="A80" t="inlineStr">
        <is>
          <t>2026-W29</t>
        </is>
      </c>
      <c r="B80" t="inlineStr">
        <is>
          <t>2026-07</t>
        </is>
      </c>
      <c r="C80" s="2" t="n">
        <v>46216</v>
      </c>
      <c r="D80" s="2" t="n">
        <v>46222</v>
      </c>
      <c r="E80" s="2" t="n">
        <v>46234</v>
      </c>
      <c r="F80" t="inlineStr">
        <is>
          <t>MAT-001</t>
        </is>
      </c>
      <c r="G80" t="inlineStr">
        <is>
          <t>PCB Main Board</t>
        </is>
      </c>
      <c r="H80" t="n">
        <v>1000</v>
      </c>
      <c r="I80" t="n">
        <v>800</v>
      </c>
      <c r="J80" t="n">
        <v>300</v>
      </c>
      <c r="K80" t="n">
        <v>1100</v>
      </c>
      <c r="L80" t="n">
        <v>0</v>
      </c>
      <c r="M80" s="3" t="n">
        <v>0</v>
      </c>
      <c r="N80" t="n">
        <v>100</v>
      </c>
      <c r="O80" s="3" t="n">
        <v>500000</v>
      </c>
      <c r="P80" t="inlineStr">
        <is>
          <t>Supplier A</t>
        </is>
      </c>
      <c r="Q80" t="n">
        <v>30</v>
      </c>
      <c r="R80" t="n">
        <v>100</v>
      </c>
      <c r="S80" t="n">
        <v>5000</v>
      </c>
      <c r="T80" t="n">
        <v>0</v>
      </c>
      <c r="U80" s="3" t="n">
        <v>0</v>
      </c>
      <c r="V80" s="2" t="n">
        <v>46192</v>
      </c>
      <c r="W80" s="6" t="inlineStr">
        <is>
          <t>Low</t>
        </is>
      </c>
    </row>
    <row r="81">
      <c r="A81" t="inlineStr">
        <is>
          <t>2026-W30</t>
        </is>
      </c>
      <c r="B81" t="inlineStr">
        <is>
          <t>2026-07</t>
        </is>
      </c>
      <c r="C81" s="2" t="n">
        <v>46223</v>
      </c>
      <c r="D81" s="2" t="n">
        <v>46229</v>
      </c>
      <c r="E81" s="2" t="n">
        <v>46234</v>
      </c>
      <c r="F81" t="inlineStr">
        <is>
          <t>MAT-001</t>
        </is>
      </c>
      <c r="G81" t="inlineStr">
        <is>
          <t>PCB Main Board</t>
        </is>
      </c>
      <c r="H81" t="n">
        <v>150</v>
      </c>
      <c r="I81" t="n">
        <v>800</v>
      </c>
      <c r="J81" t="n">
        <v>300</v>
      </c>
      <c r="K81" t="n">
        <v>1100</v>
      </c>
      <c r="L81" t="n">
        <v>0</v>
      </c>
      <c r="M81" s="3" t="n">
        <v>0</v>
      </c>
      <c r="N81" t="n">
        <v>950</v>
      </c>
      <c r="O81" s="3" t="n">
        <v>4750000</v>
      </c>
      <c r="P81" t="inlineStr">
        <is>
          <t>Supplier A</t>
        </is>
      </c>
      <c r="Q81" t="n">
        <v>30</v>
      </c>
      <c r="R81" t="n">
        <v>100</v>
      </c>
      <c r="S81" t="n">
        <v>5000</v>
      </c>
      <c r="T81" t="n">
        <v>0</v>
      </c>
      <c r="U81" s="3" t="n">
        <v>0</v>
      </c>
      <c r="V81" s="2" t="n">
        <v>46199</v>
      </c>
      <c r="W81" s="6" t="inlineStr">
        <is>
          <t>Low</t>
        </is>
      </c>
    </row>
    <row r="82">
      <c r="A82" t="inlineStr">
        <is>
          <t>2026-W31</t>
        </is>
      </c>
      <c r="B82" t="inlineStr">
        <is>
          <t>2026-08</t>
        </is>
      </c>
      <c r="C82" s="2" t="n">
        <v>46230</v>
      </c>
      <c r="D82" s="2" t="n">
        <v>46236</v>
      </c>
      <c r="E82" s="2" t="n">
        <v>46265</v>
      </c>
      <c r="F82" t="inlineStr">
        <is>
          <t>MAT-001</t>
        </is>
      </c>
      <c r="G82" t="inlineStr">
        <is>
          <t>PCB Main Board</t>
        </is>
      </c>
      <c r="H82" t="n">
        <v>1040</v>
      </c>
      <c r="I82" t="n">
        <v>800</v>
      </c>
      <c r="J82" t="n">
        <v>300</v>
      </c>
      <c r="K82" t="n">
        <v>1100</v>
      </c>
      <c r="L82" t="n">
        <v>0</v>
      </c>
      <c r="M82" s="3" t="n">
        <v>0</v>
      </c>
      <c r="N82" t="n">
        <v>60</v>
      </c>
      <c r="O82" s="3" t="n">
        <v>300000</v>
      </c>
      <c r="P82" t="inlineStr">
        <is>
          <t>Supplier A</t>
        </is>
      </c>
      <c r="Q82" t="n">
        <v>30</v>
      </c>
      <c r="R82" t="n">
        <v>100</v>
      </c>
      <c r="S82" t="n">
        <v>5000</v>
      </c>
      <c r="T82" t="n">
        <v>0</v>
      </c>
      <c r="U82" s="3" t="n">
        <v>0</v>
      </c>
      <c r="V82" s="2" t="n">
        <v>46206</v>
      </c>
      <c r="W82" s="6" t="inlineStr">
        <is>
          <t>Low</t>
        </is>
      </c>
    </row>
    <row r="83">
      <c r="A83" t="inlineStr">
        <is>
          <t>2026-W32</t>
        </is>
      </c>
      <c r="B83" t="inlineStr">
        <is>
          <t>2026-08</t>
        </is>
      </c>
      <c r="C83" s="2" t="n">
        <v>46237</v>
      </c>
      <c r="D83" s="2" t="n">
        <v>46243</v>
      </c>
      <c r="E83" s="2" t="n">
        <v>46265</v>
      </c>
      <c r="F83" t="inlineStr">
        <is>
          <t>MAT-001</t>
        </is>
      </c>
      <c r="G83" t="inlineStr">
        <is>
          <t>PCB Main Board</t>
        </is>
      </c>
      <c r="H83" t="n">
        <v>1020</v>
      </c>
      <c r="I83" t="n">
        <v>800</v>
      </c>
      <c r="J83" t="n">
        <v>300</v>
      </c>
      <c r="K83" t="n">
        <v>1100</v>
      </c>
      <c r="L83" t="n">
        <v>0</v>
      </c>
      <c r="M83" s="3" t="n">
        <v>0</v>
      </c>
      <c r="N83" t="n">
        <v>80</v>
      </c>
      <c r="O83" s="3" t="n">
        <v>400000</v>
      </c>
      <c r="P83" t="inlineStr">
        <is>
          <t>Supplier A</t>
        </is>
      </c>
      <c r="Q83" t="n">
        <v>30</v>
      </c>
      <c r="R83" t="n">
        <v>100</v>
      </c>
      <c r="S83" t="n">
        <v>5000</v>
      </c>
      <c r="T83" t="n">
        <v>0</v>
      </c>
      <c r="U83" s="3" t="n">
        <v>0</v>
      </c>
      <c r="V83" s="2" t="n">
        <v>46213</v>
      </c>
      <c r="W83" s="6" t="inlineStr">
        <is>
          <t>Low</t>
        </is>
      </c>
    </row>
    <row r="84">
      <c r="A84" t="inlineStr">
        <is>
          <t>2026-W34</t>
        </is>
      </c>
      <c r="B84" t="inlineStr">
        <is>
          <t>2026-08</t>
        </is>
      </c>
      <c r="C84" s="2" t="n">
        <v>46251</v>
      </c>
      <c r="D84" s="2" t="n">
        <v>46257</v>
      </c>
      <c r="E84" s="2" t="n">
        <v>46265</v>
      </c>
      <c r="F84" t="inlineStr">
        <is>
          <t>MAT-001</t>
        </is>
      </c>
      <c r="G84" t="inlineStr">
        <is>
          <t>PCB Main Board</t>
        </is>
      </c>
      <c r="H84" t="n">
        <v>190</v>
      </c>
      <c r="I84" t="n">
        <v>800</v>
      </c>
      <c r="J84" t="n">
        <v>300</v>
      </c>
      <c r="K84" t="n">
        <v>1100</v>
      </c>
      <c r="L84" t="n">
        <v>0</v>
      </c>
      <c r="M84" s="3" t="n">
        <v>0</v>
      </c>
      <c r="N84" t="n">
        <v>910</v>
      </c>
      <c r="O84" s="3" t="n">
        <v>4550000</v>
      </c>
      <c r="P84" t="inlineStr">
        <is>
          <t>Supplier A</t>
        </is>
      </c>
      <c r="Q84" t="n">
        <v>30</v>
      </c>
      <c r="R84" t="n">
        <v>100</v>
      </c>
      <c r="S84" t="n">
        <v>5000</v>
      </c>
      <c r="T84" t="n">
        <v>0</v>
      </c>
      <c r="U84" s="3" t="n">
        <v>0</v>
      </c>
      <c r="V84" s="2" t="n">
        <v>46227</v>
      </c>
      <c r="W84" s="6" t="inlineStr">
        <is>
          <t>Low</t>
        </is>
      </c>
    </row>
    <row r="85">
      <c r="A85" t="inlineStr">
        <is>
          <t>2026-W38</t>
        </is>
      </c>
      <c r="B85" t="inlineStr">
        <is>
          <t>2026-09</t>
        </is>
      </c>
      <c r="C85" s="2" t="n">
        <v>46279</v>
      </c>
      <c r="D85" s="2" t="n">
        <v>46285</v>
      </c>
      <c r="E85" s="2" t="n">
        <v>46295</v>
      </c>
      <c r="F85" t="inlineStr">
        <is>
          <t>MAT-001</t>
        </is>
      </c>
      <c r="G85" t="inlineStr">
        <is>
          <t>PCB Main Board</t>
        </is>
      </c>
      <c r="H85" t="n">
        <v>230</v>
      </c>
      <c r="I85" t="n">
        <v>800</v>
      </c>
      <c r="J85" t="n">
        <v>300</v>
      </c>
      <c r="K85" t="n">
        <v>1100</v>
      </c>
      <c r="L85" t="n">
        <v>0</v>
      </c>
      <c r="M85" s="3" t="n">
        <v>0</v>
      </c>
      <c r="N85" t="n">
        <v>870</v>
      </c>
      <c r="O85" s="3" t="n">
        <v>4350000</v>
      </c>
      <c r="P85" t="inlineStr">
        <is>
          <t>Supplier A</t>
        </is>
      </c>
      <c r="Q85" t="n">
        <v>30</v>
      </c>
      <c r="R85" t="n">
        <v>100</v>
      </c>
      <c r="S85" t="n">
        <v>5000</v>
      </c>
      <c r="T85" t="n">
        <v>0</v>
      </c>
      <c r="U85" s="3" t="n">
        <v>0</v>
      </c>
      <c r="V85" s="2" t="n">
        <v>46255</v>
      </c>
      <c r="W85" s="6" t="inlineStr">
        <is>
          <t>Low</t>
        </is>
      </c>
    </row>
    <row r="86">
      <c r="A86" t="inlineStr">
        <is>
          <t>2026-W34</t>
        </is>
      </c>
      <c r="B86" t="inlineStr">
        <is>
          <t>2026-08</t>
        </is>
      </c>
      <c r="C86" s="2" t="n">
        <v>46251</v>
      </c>
      <c r="D86" s="2" t="n">
        <v>46257</v>
      </c>
      <c r="E86" s="2" t="n">
        <v>46265</v>
      </c>
      <c r="F86" t="inlineStr">
        <is>
          <t>MAT-002</t>
        </is>
      </c>
      <c r="G86" t="inlineStr">
        <is>
          <t>DRAM Chip</t>
        </is>
      </c>
      <c r="H86" t="n">
        <v>150</v>
      </c>
      <c r="I86" t="n">
        <v>500</v>
      </c>
      <c r="J86" t="n">
        <v>350</v>
      </c>
      <c r="K86" t="n">
        <v>850</v>
      </c>
      <c r="L86" t="n">
        <v>0</v>
      </c>
      <c r="M86" s="3" t="n">
        <v>0</v>
      </c>
      <c r="N86" t="n">
        <v>700</v>
      </c>
      <c r="O86" s="3" t="n">
        <v>5600000</v>
      </c>
      <c r="P86" t="inlineStr">
        <is>
          <t>Supplier B</t>
        </is>
      </c>
      <c r="Q86" t="n">
        <v>45</v>
      </c>
      <c r="R86" t="n">
        <v>200</v>
      </c>
      <c r="S86" t="n">
        <v>8000</v>
      </c>
      <c r="T86" t="n">
        <v>0</v>
      </c>
      <c r="U86" s="3" t="n">
        <v>0</v>
      </c>
      <c r="V86" s="2" t="n">
        <v>46212</v>
      </c>
      <c r="W86" s="6" t="inlineStr">
        <is>
          <t>Low</t>
        </is>
      </c>
    </row>
    <row r="87">
      <c r="A87" t="inlineStr">
        <is>
          <t>2026-W38</t>
        </is>
      </c>
      <c r="B87" t="inlineStr">
        <is>
          <t>2026-09</t>
        </is>
      </c>
      <c r="C87" s="2" t="n">
        <v>46279</v>
      </c>
      <c r="D87" s="2" t="n">
        <v>46285</v>
      </c>
      <c r="E87" s="2" t="n">
        <v>46295</v>
      </c>
      <c r="F87" t="inlineStr">
        <is>
          <t>MAT-002</t>
        </is>
      </c>
      <c r="G87" t="inlineStr">
        <is>
          <t>DRAM Chip</t>
        </is>
      </c>
      <c r="H87" t="n">
        <v>190</v>
      </c>
      <c r="I87" t="n">
        <v>500</v>
      </c>
      <c r="J87" t="n">
        <v>350</v>
      </c>
      <c r="K87" t="n">
        <v>850</v>
      </c>
      <c r="L87" t="n">
        <v>0</v>
      </c>
      <c r="M87" s="3" t="n">
        <v>0</v>
      </c>
      <c r="N87" t="n">
        <v>660</v>
      </c>
      <c r="O87" s="3" t="n">
        <v>5280000</v>
      </c>
      <c r="P87" t="inlineStr">
        <is>
          <t>Supplier B</t>
        </is>
      </c>
      <c r="Q87" t="n">
        <v>45</v>
      </c>
      <c r="R87" t="n">
        <v>200</v>
      </c>
      <c r="S87" t="n">
        <v>8000</v>
      </c>
      <c r="T87" t="n">
        <v>0</v>
      </c>
      <c r="U87" s="3" t="n">
        <v>0</v>
      </c>
      <c r="V87" s="2" t="n">
        <v>46240</v>
      </c>
      <c r="W87" s="6" t="inlineStr">
        <is>
          <t>Low</t>
        </is>
      </c>
    </row>
    <row r="88">
      <c r="A88" t="inlineStr">
        <is>
          <t>2026-W27</t>
        </is>
      </c>
      <c r="B88" t="inlineStr">
        <is>
          <t>2026-07</t>
        </is>
      </c>
      <c r="C88" s="2" t="n">
        <v>46202</v>
      </c>
      <c r="D88" s="2" t="n">
        <v>46208</v>
      </c>
      <c r="E88" s="2" t="n">
        <v>46234</v>
      </c>
      <c r="F88" t="inlineStr">
        <is>
          <t>MAT-003</t>
        </is>
      </c>
      <c r="G88" t="inlineStr">
        <is>
          <t>Power IC</t>
        </is>
      </c>
      <c r="H88" t="n">
        <v>300</v>
      </c>
      <c r="I88" t="n">
        <v>1200</v>
      </c>
      <c r="J88" t="n">
        <v>0</v>
      </c>
      <c r="K88" t="n">
        <v>1200</v>
      </c>
      <c r="L88" t="n">
        <v>0</v>
      </c>
      <c r="M88" s="3" t="n">
        <v>0</v>
      </c>
      <c r="N88" t="n">
        <v>900</v>
      </c>
      <c r="O88" s="3" t="n">
        <v>2700000</v>
      </c>
      <c r="P88" t="inlineStr">
        <is>
          <t>Supplier C</t>
        </is>
      </c>
      <c r="Q88" t="n">
        <v>25</v>
      </c>
      <c r="R88" t="n">
        <v>100</v>
      </c>
      <c r="S88" t="n">
        <v>3000</v>
      </c>
      <c r="T88" t="n">
        <v>0</v>
      </c>
      <c r="U88" s="3" t="n">
        <v>0</v>
      </c>
      <c r="V88" s="2" t="n">
        <v>46183</v>
      </c>
      <c r="W88" s="6" t="inlineStr">
        <is>
          <t>Low</t>
        </is>
      </c>
    </row>
    <row r="89">
      <c r="A89" t="inlineStr">
        <is>
          <t>2026-W28</t>
        </is>
      </c>
      <c r="B89" t="inlineStr">
        <is>
          <t>2026-07</t>
        </is>
      </c>
      <c r="C89" s="2" t="n">
        <v>46209</v>
      </c>
      <c r="D89" s="2" t="n">
        <v>46215</v>
      </c>
      <c r="E89" s="2" t="n">
        <v>46234</v>
      </c>
      <c r="F89" t="inlineStr">
        <is>
          <t>MAT-003</t>
        </is>
      </c>
      <c r="G89" t="inlineStr">
        <is>
          <t>Power IC</t>
        </is>
      </c>
      <c r="H89" t="n">
        <v>760</v>
      </c>
      <c r="I89" t="n">
        <v>1200</v>
      </c>
      <c r="J89" t="n">
        <v>0</v>
      </c>
      <c r="K89" t="n">
        <v>1200</v>
      </c>
      <c r="L89" t="n">
        <v>0</v>
      </c>
      <c r="M89" s="3" t="n">
        <v>0</v>
      </c>
      <c r="N89" t="n">
        <v>440</v>
      </c>
      <c r="O89" s="3" t="n">
        <v>1320000</v>
      </c>
      <c r="P89" t="inlineStr">
        <is>
          <t>Supplier C</t>
        </is>
      </c>
      <c r="Q89" t="n">
        <v>25</v>
      </c>
      <c r="R89" t="n">
        <v>100</v>
      </c>
      <c r="S89" t="n">
        <v>3000</v>
      </c>
      <c r="T89" t="n">
        <v>0</v>
      </c>
      <c r="U89" s="3" t="n">
        <v>0</v>
      </c>
      <c r="V89" s="2" t="n">
        <v>46190</v>
      </c>
      <c r="W89" s="6" t="inlineStr">
        <is>
          <t>Low</t>
        </is>
      </c>
    </row>
    <row r="90">
      <c r="A90" t="inlineStr">
        <is>
          <t>2026-W29</t>
        </is>
      </c>
      <c r="B90" t="inlineStr">
        <is>
          <t>2026-07</t>
        </is>
      </c>
      <c r="C90" s="2" t="n">
        <v>46216</v>
      </c>
      <c r="D90" s="2" t="n">
        <v>46222</v>
      </c>
      <c r="E90" s="2" t="n">
        <v>46234</v>
      </c>
      <c r="F90" t="inlineStr">
        <is>
          <t>MAT-003</t>
        </is>
      </c>
      <c r="G90" t="inlineStr">
        <is>
          <t>Power IC</t>
        </is>
      </c>
      <c r="H90" t="n">
        <v>350</v>
      </c>
      <c r="I90" t="n">
        <v>1200</v>
      </c>
      <c r="J90" t="n">
        <v>0</v>
      </c>
      <c r="K90" t="n">
        <v>1200</v>
      </c>
      <c r="L90" t="n">
        <v>0</v>
      </c>
      <c r="M90" s="3" t="n">
        <v>0</v>
      </c>
      <c r="N90" t="n">
        <v>850</v>
      </c>
      <c r="O90" s="3" t="n">
        <v>2550000</v>
      </c>
      <c r="P90" t="inlineStr">
        <is>
          <t>Supplier C</t>
        </is>
      </c>
      <c r="Q90" t="n">
        <v>25</v>
      </c>
      <c r="R90" t="n">
        <v>100</v>
      </c>
      <c r="S90" t="n">
        <v>3000</v>
      </c>
      <c r="T90" t="n">
        <v>0</v>
      </c>
      <c r="U90" s="3" t="n">
        <v>0</v>
      </c>
      <c r="V90" s="2" t="n">
        <v>46197</v>
      </c>
      <c r="W90" s="6" t="inlineStr">
        <is>
          <t>Low</t>
        </is>
      </c>
    </row>
    <row r="91">
      <c r="A91" t="inlineStr">
        <is>
          <t>2026-W30</t>
        </is>
      </c>
      <c r="B91" t="inlineStr">
        <is>
          <t>2026-07</t>
        </is>
      </c>
      <c r="C91" s="2" t="n">
        <v>46223</v>
      </c>
      <c r="D91" s="2" t="n">
        <v>46229</v>
      </c>
      <c r="E91" s="2" t="n">
        <v>46234</v>
      </c>
      <c r="F91" t="inlineStr">
        <is>
          <t>MAT-003</t>
        </is>
      </c>
      <c r="G91" t="inlineStr">
        <is>
          <t>Power IC</t>
        </is>
      </c>
      <c r="H91" t="n">
        <v>440</v>
      </c>
      <c r="I91" t="n">
        <v>1200</v>
      </c>
      <c r="J91" t="n">
        <v>0</v>
      </c>
      <c r="K91" t="n">
        <v>1200</v>
      </c>
      <c r="L91" t="n">
        <v>0</v>
      </c>
      <c r="M91" s="3" t="n">
        <v>0</v>
      </c>
      <c r="N91" t="n">
        <v>760</v>
      </c>
      <c r="O91" s="3" t="n">
        <v>2280000</v>
      </c>
      <c r="P91" t="inlineStr">
        <is>
          <t>Supplier C</t>
        </is>
      </c>
      <c r="Q91" t="n">
        <v>25</v>
      </c>
      <c r="R91" t="n">
        <v>100</v>
      </c>
      <c r="S91" t="n">
        <v>3000</v>
      </c>
      <c r="T91" t="n">
        <v>0</v>
      </c>
      <c r="U91" s="3" t="n">
        <v>0</v>
      </c>
      <c r="V91" s="2" t="n">
        <v>46204</v>
      </c>
      <c r="W91" s="6" t="inlineStr">
        <is>
          <t>Low</t>
        </is>
      </c>
    </row>
    <row r="92">
      <c r="A92" t="inlineStr">
        <is>
          <t>2026-W31</t>
        </is>
      </c>
      <c r="B92" t="inlineStr">
        <is>
          <t>2026-08</t>
        </is>
      </c>
      <c r="C92" s="2" t="n">
        <v>46230</v>
      </c>
      <c r="D92" s="2" t="n">
        <v>46236</v>
      </c>
      <c r="E92" s="2" t="n">
        <v>46265</v>
      </c>
      <c r="F92" t="inlineStr">
        <is>
          <t>MAT-003</t>
        </is>
      </c>
      <c r="G92" t="inlineStr">
        <is>
          <t>Power IC</t>
        </is>
      </c>
      <c r="H92" t="n">
        <v>380</v>
      </c>
      <c r="I92" t="n">
        <v>1200</v>
      </c>
      <c r="J92" t="n">
        <v>0</v>
      </c>
      <c r="K92" t="n">
        <v>1200</v>
      </c>
      <c r="L92" t="n">
        <v>0</v>
      </c>
      <c r="M92" s="3" t="n">
        <v>0</v>
      </c>
      <c r="N92" t="n">
        <v>820</v>
      </c>
      <c r="O92" s="3" t="n">
        <v>2460000</v>
      </c>
      <c r="P92" t="inlineStr">
        <is>
          <t>Supplier C</t>
        </is>
      </c>
      <c r="Q92" t="n">
        <v>25</v>
      </c>
      <c r="R92" t="n">
        <v>100</v>
      </c>
      <c r="S92" t="n">
        <v>3000</v>
      </c>
      <c r="T92" t="n">
        <v>0</v>
      </c>
      <c r="U92" s="3" t="n">
        <v>0</v>
      </c>
      <c r="V92" s="2" t="n">
        <v>46211</v>
      </c>
      <c r="W92" s="6" t="inlineStr">
        <is>
          <t>Low</t>
        </is>
      </c>
    </row>
    <row r="93">
      <c r="A93" t="inlineStr">
        <is>
          <t>2026-W32</t>
        </is>
      </c>
      <c r="B93" t="inlineStr">
        <is>
          <t>2026-08</t>
        </is>
      </c>
      <c r="C93" s="2" t="n">
        <v>46237</v>
      </c>
      <c r="D93" s="2" t="n">
        <v>46243</v>
      </c>
      <c r="E93" s="2" t="n">
        <v>46265</v>
      </c>
      <c r="F93" t="inlineStr">
        <is>
          <t>MAT-003</t>
        </is>
      </c>
      <c r="G93" t="inlineStr">
        <is>
          <t>Power IC</t>
        </is>
      </c>
      <c r="H93" t="n">
        <v>940</v>
      </c>
      <c r="I93" t="n">
        <v>1200</v>
      </c>
      <c r="J93" t="n">
        <v>0</v>
      </c>
      <c r="K93" t="n">
        <v>1200</v>
      </c>
      <c r="L93" t="n">
        <v>0</v>
      </c>
      <c r="M93" s="3" t="n">
        <v>0</v>
      </c>
      <c r="N93" t="n">
        <v>260</v>
      </c>
      <c r="O93" s="3" t="n">
        <v>780000</v>
      </c>
      <c r="P93" t="inlineStr">
        <is>
          <t>Supplier C</t>
        </is>
      </c>
      <c r="Q93" t="n">
        <v>25</v>
      </c>
      <c r="R93" t="n">
        <v>100</v>
      </c>
      <c r="S93" t="n">
        <v>3000</v>
      </c>
      <c r="T93" t="n">
        <v>0</v>
      </c>
      <c r="U93" s="3" t="n">
        <v>0</v>
      </c>
      <c r="V93" s="2" t="n">
        <v>46218</v>
      </c>
      <c r="W93" s="6" t="inlineStr">
        <is>
          <t>Low</t>
        </is>
      </c>
    </row>
    <row r="94">
      <c r="A94" t="inlineStr">
        <is>
          <t>2026-W33</t>
        </is>
      </c>
      <c r="B94" t="inlineStr">
        <is>
          <t>2026-08</t>
        </is>
      </c>
      <c r="C94" s="2" t="n">
        <v>46244</v>
      </c>
      <c r="D94" s="2" t="n">
        <v>46250</v>
      </c>
      <c r="E94" s="2" t="n">
        <v>46265</v>
      </c>
      <c r="F94" t="inlineStr">
        <is>
          <t>MAT-003</t>
        </is>
      </c>
      <c r="G94" t="inlineStr">
        <is>
          <t>Power IC</t>
        </is>
      </c>
      <c r="H94" t="n">
        <v>390</v>
      </c>
      <c r="I94" t="n">
        <v>1200</v>
      </c>
      <c r="J94" t="n">
        <v>0</v>
      </c>
      <c r="K94" t="n">
        <v>1200</v>
      </c>
      <c r="L94" t="n">
        <v>0</v>
      </c>
      <c r="M94" s="3" t="n">
        <v>0</v>
      </c>
      <c r="N94" t="n">
        <v>810</v>
      </c>
      <c r="O94" s="3" t="n">
        <v>2430000</v>
      </c>
      <c r="P94" t="inlineStr">
        <is>
          <t>Supplier C</t>
        </is>
      </c>
      <c r="Q94" t="n">
        <v>25</v>
      </c>
      <c r="R94" t="n">
        <v>100</v>
      </c>
      <c r="S94" t="n">
        <v>3000</v>
      </c>
      <c r="T94" t="n">
        <v>0</v>
      </c>
      <c r="U94" s="3" t="n">
        <v>0</v>
      </c>
      <c r="V94" s="2" t="n">
        <v>46225</v>
      </c>
      <c r="W94" s="6" t="inlineStr">
        <is>
          <t>Low</t>
        </is>
      </c>
    </row>
    <row r="95">
      <c r="A95" t="inlineStr">
        <is>
          <t>2026-W34</t>
        </is>
      </c>
      <c r="B95" t="inlineStr">
        <is>
          <t>2026-08</t>
        </is>
      </c>
      <c r="C95" s="2" t="n">
        <v>46251</v>
      </c>
      <c r="D95" s="2" t="n">
        <v>46257</v>
      </c>
      <c r="E95" s="2" t="n">
        <v>46265</v>
      </c>
      <c r="F95" t="inlineStr">
        <is>
          <t>MAT-003</t>
        </is>
      </c>
      <c r="G95" t="inlineStr">
        <is>
          <t>Power IC</t>
        </is>
      </c>
      <c r="H95" t="n">
        <v>560</v>
      </c>
      <c r="I95" t="n">
        <v>1200</v>
      </c>
      <c r="J95" t="n">
        <v>0</v>
      </c>
      <c r="K95" t="n">
        <v>1200</v>
      </c>
      <c r="L95" t="n">
        <v>0</v>
      </c>
      <c r="M95" s="3" t="n">
        <v>0</v>
      </c>
      <c r="N95" t="n">
        <v>640</v>
      </c>
      <c r="O95" s="3" t="n">
        <v>1920000</v>
      </c>
      <c r="P95" t="inlineStr">
        <is>
          <t>Supplier C</t>
        </is>
      </c>
      <c r="Q95" t="n">
        <v>25</v>
      </c>
      <c r="R95" t="n">
        <v>100</v>
      </c>
      <c r="S95" t="n">
        <v>3000</v>
      </c>
      <c r="T95" t="n">
        <v>0</v>
      </c>
      <c r="U95" s="3" t="n">
        <v>0</v>
      </c>
      <c r="V95" s="2" t="n">
        <v>46232</v>
      </c>
      <c r="W95" s="6" t="inlineStr">
        <is>
          <t>Low</t>
        </is>
      </c>
    </row>
    <row r="96">
      <c r="A96" t="inlineStr">
        <is>
          <t>2026-W35</t>
        </is>
      </c>
      <c r="B96" t="inlineStr">
        <is>
          <t>2026-08</t>
        </is>
      </c>
      <c r="C96" s="2" t="n">
        <v>46258</v>
      </c>
      <c r="D96" s="2" t="n">
        <v>46264</v>
      </c>
      <c r="E96" s="2" t="n">
        <v>46265</v>
      </c>
      <c r="F96" t="inlineStr">
        <is>
          <t>MAT-003</t>
        </is>
      </c>
      <c r="G96" t="inlineStr">
        <is>
          <t>Power IC</t>
        </is>
      </c>
      <c r="H96" t="n">
        <v>450</v>
      </c>
      <c r="I96" t="n">
        <v>1200</v>
      </c>
      <c r="J96" t="n">
        <v>0</v>
      </c>
      <c r="K96" t="n">
        <v>1200</v>
      </c>
      <c r="L96" t="n">
        <v>0</v>
      </c>
      <c r="M96" s="3" t="n">
        <v>0</v>
      </c>
      <c r="N96" t="n">
        <v>750</v>
      </c>
      <c r="O96" s="3" t="n">
        <v>2250000</v>
      </c>
      <c r="P96" t="inlineStr">
        <is>
          <t>Supplier C</t>
        </is>
      </c>
      <c r="Q96" t="n">
        <v>25</v>
      </c>
      <c r="R96" t="n">
        <v>100</v>
      </c>
      <c r="S96" t="n">
        <v>3000</v>
      </c>
      <c r="T96" t="n">
        <v>0</v>
      </c>
      <c r="U96" s="3" t="n">
        <v>0</v>
      </c>
      <c r="V96" s="2" t="n">
        <v>46239</v>
      </c>
      <c r="W96" s="6" t="inlineStr">
        <is>
          <t>Low</t>
        </is>
      </c>
    </row>
    <row r="97">
      <c r="A97" t="inlineStr">
        <is>
          <t>2026-W36</t>
        </is>
      </c>
      <c r="B97" t="inlineStr">
        <is>
          <t>2026-09</t>
        </is>
      </c>
      <c r="C97" s="2" t="n">
        <v>46265</v>
      </c>
      <c r="D97" s="2" t="n">
        <v>46271</v>
      </c>
      <c r="E97" s="2" t="n">
        <v>46295</v>
      </c>
      <c r="F97" t="inlineStr">
        <is>
          <t>MAT-003</t>
        </is>
      </c>
      <c r="G97" t="inlineStr">
        <is>
          <t>Power IC</t>
        </is>
      </c>
      <c r="H97" t="n">
        <v>1070</v>
      </c>
      <c r="I97" t="n">
        <v>1200</v>
      </c>
      <c r="J97" t="n">
        <v>0</v>
      </c>
      <c r="K97" t="n">
        <v>1200</v>
      </c>
      <c r="L97" t="n">
        <v>0</v>
      </c>
      <c r="M97" s="3" t="n">
        <v>0</v>
      </c>
      <c r="N97" t="n">
        <v>130</v>
      </c>
      <c r="O97" s="3" t="n">
        <v>390000</v>
      </c>
      <c r="P97" t="inlineStr">
        <is>
          <t>Supplier C</t>
        </is>
      </c>
      <c r="Q97" t="n">
        <v>25</v>
      </c>
      <c r="R97" t="n">
        <v>100</v>
      </c>
      <c r="S97" t="n">
        <v>3000</v>
      </c>
      <c r="T97" t="n">
        <v>0</v>
      </c>
      <c r="U97" s="3" t="n">
        <v>0</v>
      </c>
      <c r="V97" s="2" t="n">
        <v>46246</v>
      </c>
      <c r="W97" s="6" t="inlineStr">
        <is>
          <t>Low</t>
        </is>
      </c>
    </row>
    <row r="98">
      <c r="A98" t="inlineStr">
        <is>
          <t>2026-W37</t>
        </is>
      </c>
      <c r="B98" t="inlineStr">
        <is>
          <t>2026-09</t>
        </is>
      </c>
      <c r="C98" s="2" t="n">
        <v>46272</v>
      </c>
      <c r="D98" s="2" t="n">
        <v>46278</v>
      </c>
      <c r="E98" s="2" t="n">
        <v>46295</v>
      </c>
      <c r="F98" t="inlineStr">
        <is>
          <t>MAT-003</t>
        </is>
      </c>
      <c r="G98" t="inlineStr">
        <is>
          <t>Power IC</t>
        </is>
      </c>
      <c r="H98" t="n">
        <v>500</v>
      </c>
      <c r="I98" t="n">
        <v>1200</v>
      </c>
      <c r="J98" t="n">
        <v>0</v>
      </c>
      <c r="K98" t="n">
        <v>1200</v>
      </c>
      <c r="L98" t="n">
        <v>0</v>
      </c>
      <c r="M98" s="3" t="n">
        <v>0</v>
      </c>
      <c r="N98" t="n">
        <v>700</v>
      </c>
      <c r="O98" s="3" t="n">
        <v>2100000</v>
      </c>
      <c r="P98" t="inlineStr">
        <is>
          <t>Supplier C</t>
        </is>
      </c>
      <c r="Q98" t="n">
        <v>25</v>
      </c>
      <c r="R98" t="n">
        <v>100</v>
      </c>
      <c r="S98" t="n">
        <v>3000</v>
      </c>
      <c r="T98" t="n">
        <v>0</v>
      </c>
      <c r="U98" s="3" t="n">
        <v>0</v>
      </c>
      <c r="V98" s="2" t="n">
        <v>46253</v>
      </c>
      <c r="W98" s="6" t="inlineStr">
        <is>
          <t>Low</t>
        </is>
      </c>
    </row>
    <row r="99">
      <c r="A99" t="inlineStr">
        <is>
          <t>2026-W38</t>
        </is>
      </c>
      <c r="B99" t="inlineStr">
        <is>
          <t>2026-09</t>
        </is>
      </c>
      <c r="C99" s="2" t="n">
        <v>46279</v>
      </c>
      <c r="D99" s="2" t="n">
        <v>46285</v>
      </c>
      <c r="E99" s="2" t="n">
        <v>46295</v>
      </c>
      <c r="F99" t="inlineStr">
        <is>
          <t>MAT-003</t>
        </is>
      </c>
      <c r="G99" t="inlineStr">
        <is>
          <t>Power IC</t>
        </is>
      </c>
      <c r="H99" t="n">
        <v>640</v>
      </c>
      <c r="I99" t="n">
        <v>1200</v>
      </c>
      <c r="J99" t="n">
        <v>0</v>
      </c>
      <c r="K99" t="n">
        <v>1200</v>
      </c>
      <c r="L99" t="n">
        <v>0</v>
      </c>
      <c r="M99" s="3" t="n">
        <v>0</v>
      </c>
      <c r="N99" t="n">
        <v>560</v>
      </c>
      <c r="O99" s="3" t="n">
        <v>1680000</v>
      </c>
      <c r="P99" t="inlineStr">
        <is>
          <t>Supplier C</t>
        </is>
      </c>
      <c r="Q99" t="n">
        <v>25</v>
      </c>
      <c r="R99" t="n">
        <v>100</v>
      </c>
      <c r="S99" t="n">
        <v>3000</v>
      </c>
      <c r="T99" t="n">
        <v>0</v>
      </c>
      <c r="U99" s="3" t="n">
        <v>0</v>
      </c>
      <c r="V99" s="2" t="n">
        <v>46260</v>
      </c>
      <c r="W99" s="6" t="inlineStr">
        <is>
          <t>Low</t>
        </is>
      </c>
    </row>
    <row r="100">
      <c r="A100" t="inlineStr">
        <is>
          <t>2026-W30</t>
        </is>
      </c>
      <c r="B100" t="inlineStr">
        <is>
          <t>2026-07</t>
        </is>
      </c>
      <c r="C100" s="2" t="n">
        <v>46223</v>
      </c>
      <c r="D100" s="2" t="n">
        <v>46229</v>
      </c>
      <c r="E100" s="2" t="n">
        <v>46234</v>
      </c>
      <c r="F100" t="inlineStr">
        <is>
          <t>MAT-004</t>
        </is>
      </c>
      <c r="G100" t="inlineStr">
        <is>
          <t>PKG Substrate</t>
        </is>
      </c>
      <c r="H100" t="n">
        <v>360</v>
      </c>
      <c r="I100" t="n">
        <v>300</v>
      </c>
      <c r="J100" t="n">
        <v>500</v>
      </c>
      <c r="K100" t="n">
        <v>800</v>
      </c>
      <c r="L100" t="n">
        <v>0</v>
      </c>
      <c r="M100" s="3" t="n">
        <v>0</v>
      </c>
      <c r="N100" t="n">
        <v>440</v>
      </c>
      <c r="O100" s="3" t="n">
        <v>1760000</v>
      </c>
      <c r="P100" t="inlineStr">
        <is>
          <t>Supplier A</t>
        </is>
      </c>
      <c r="Q100" t="n">
        <v>60</v>
      </c>
      <c r="R100" t="n">
        <v>300</v>
      </c>
      <c r="S100" t="n">
        <v>4000</v>
      </c>
      <c r="T100" t="n">
        <v>0</v>
      </c>
      <c r="U100" s="3" t="n">
        <v>0</v>
      </c>
      <c r="V100" s="2" t="n">
        <v>46169</v>
      </c>
      <c r="W100" s="6" t="inlineStr">
        <is>
          <t>Low</t>
        </is>
      </c>
    </row>
    <row r="101">
      <c r="A101" t="inlineStr">
        <is>
          <t>2026-W32</t>
        </is>
      </c>
      <c r="B101" t="inlineStr">
        <is>
          <t>2026-08</t>
        </is>
      </c>
      <c r="C101" s="2" t="n">
        <v>46237</v>
      </c>
      <c r="D101" s="2" t="n">
        <v>46243</v>
      </c>
      <c r="E101" s="2" t="n">
        <v>46265</v>
      </c>
      <c r="F101" t="inlineStr">
        <is>
          <t>MAT-004</t>
        </is>
      </c>
      <c r="G101" t="inlineStr">
        <is>
          <t>PKG Substrate</t>
        </is>
      </c>
      <c r="H101" t="n">
        <v>420</v>
      </c>
      <c r="I101" t="n">
        <v>300</v>
      </c>
      <c r="J101" t="n">
        <v>500</v>
      </c>
      <c r="K101" t="n">
        <v>800</v>
      </c>
      <c r="L101" t="n">
        <v>0</v>
      </c>
      <c r="M101" s="3" t="n">
        <v>0</v>
      </c>
      <c r="N101" t="n">
        <v>380</v>
      </c>
      <c r="O101" s="3" t="n">
        <v>1520000</v>
      </c>
      <c r="P101" t="inlineStr">
        <is>
          <t>Supplier A</t>
        </is>
      </c>
      <c r="Q101" t="n">
        <v>60</v>
      </c>
      <c r="R101" t="n">
        <v>300</v>
      </c>
      <c r="S101" t="n">
        <v>4000</v>
      </c>
      <c r="T101" t="n">
        <v>0</v>
      </c>
      <c r="U101" s="3" t="n">
        <v>0</v>
      </c>
      <c r="V101" s="2" t="n">
        <v>46183</v>
      </c>
      <c r="W101" s="6" t="inlineStr">
        <is>
          <t>Low</t>
        </is>
      </c>
    </row>
    <row r="102">
      <c r="A102" t="inlineStr">
        <is>
          <t>2026-W34</t>
        </is>
      </c>
      <c r="B102" t="inlineStr">
        <is>
          <t>2026-08</t>
        </is>
      </c>
      <c r="C102" s="2" t="n">
        <v>46251</v>
      </c>
      <c r="D102" s="2" t="n">
        <v>46257</v>
      </c>
      <c r="E102" s="2" t="n">
        <v>46265</v>
      </c>
      <c r="F102" t="inlineStr">
        <is>
          <t>MAT-004</t>
        </is>
      </c>
      <c r="G102" t="inlineStr">
        <is>
          <t>PKG Substrate</t>
        </is>
      </c>
      <c r="H102" t="n">
        <v>440</v>
      </c>
      <c r="I102" t="n">
        <v>300</v>
      </c>
      <c r="J102" t="n">
        <v>500</v>
      </c>
      <c r="K102" t="n">
        <v>800</v>
      </c>
      <c r="L102" t="n">
        <v>0</v>
      </c>
      <c r="M102" s="3" t="n">
        <v>0</v>
      </c>
      <c r="N102" t="n">
        <v>360</v>
      </c>
      <c r="O102" s="3" t="n">
        <v>1440000</v>
      </c>
      <c r="P102" t="inlineStr">
        <is>
          <t>Supplier A</t>
        </is>
      </c>
      <c r="Q102" t="n">
        <v>60</v>
      </c>
      <c r="R102" t="n">
        <v>300</v>
      </c>
      <c r="S102" t="n">
        <v>4000</v>
      </c>
      <c r="T102" t="n">
        <v>0</v>
      </c>
      <c r="U102" s="3" t="n">
        <v>0</v>
      </c>
      <c r="V102" s="2" t="n">
        <v>46197</v>
      </c>
      <c r="W102" s="6" t="inlineStr">
        <is>
          <t>Low</t>
        </is>
      </c>
    </row>
    <row r="103">
      <c r="A103" t="inlineStr">
        <is>
          <t>2026-W38</t>
        </is>
      </c>
      <c r="B103" t="inlineStr">
        <is>
          <t>2026-09</t>
        </is>
      </c>
      <c r="C103" s="2" t="n">
        <v>46279</v>
      </c>
      <c r="D103" s="2" t="n">
        <v>46285</v>
      </c>
      <c r="E103" s="2" t="n">
        <v>46295</v>
      </c>
      <c r="F103" t="inlineStr">
        <is>
          <t>MAT-004</t>
        </is>
      </c>
      <c r="G103" t="inlineStr">
        <is>
          <t>PKG Substrate</t>
        </is>
      </c>
      <c r="H103" t="n">
        <v>500</v>
      </c>
      <c r="I103" t="n">
        <v>300</v>
      </c>
      <c r="J103" t="n">
        <v>500</v>
      </c>
      <c r="K103" t="n">
        <v>800</v>
      </c>
      <c r="L103" t="n">
        <v>0</v>
      </c>
      <c r="M103" s="3" t="n">
        <v>0</v>
      </c>
      <c r="N103" t="n">
        <v>300</v>
      </c>
      <c r="O103" s="3" t="n">
        <v>1200000</v>
      </c>
      <c r="P103" t="inlineStr">
        <is>
          <t>Supplier A</t>
        </is>
      </c>
      <c r="Q103" t="n">
        <v>60</v>
      </c>
      <c r="R103" t="n">
        <v>300</v>
      </c>
      <c r="S103" t="n">
        <v>4000</v>
      </c>
      <c r="T103" t="n">
        <v>0</v>
      </c>
      <c r="U103" s="3" t="n">
        <v>0</v>
      </c>
      <c r="V103" s="2" t="n">
        <v>46225</v>
      </c>
      <c r="W103" s="6" t="inlineStr">
        <is>
          <t>Low</t>
        </is>
      </c>
    </row>
    <row r="104">
      <c r="A104" t="inlineStr">
        <is>
          <t>2026-W27</t>
        </is>
      </c>
      <c r="B104" t="inlineStr">
        <is>
          <t>2026-07</t>
        </is>
      </c>
      <c r="C104" s="2" t="n">
        <v>46202</v>
      </c>
      <c r="D104" s="2" t="n">
        <v>46208</v>
      </c>
      <c r="E104" s="2" t="n">
        <v>46234</v>
      </c>
      <c r="F104" t="inlineStr">
        <is>
          <t>MAT-005</t>
        </is>
      </c>
      <c r="G104" t="inlineStr">
        <is>
          <t>NAND Flash</t>
        </is>
      </c>
      <c r="H104" t="n">
        <v>500</v>
      </c>
      <c r="I104" t="n">
        <v>400</v>
      </c>
      <c r="J104" t="n">
        <v>300</v>
      </c>
      <c r="K104" t="n">
        <v>700</v>
      </c>
      <c r="L104" t="n">
        <v>0</v>
      </c>
      <c r="M104" s="3" t="n">
        <v>0</v>
      </c>
      <c r="N104" t="n">
        <v>200</v>
      </c>
      <c r="O104" s="3" t="n">
        <v>2400000</v>
      </c>
      <c r="P104" t="inlineStr">
        <is>
          <t>Supplier D</t>
        </is>
      </c>
      <c r="Q104" t="n">
        <v>50</v>
      </c>
      <c r="R104" t="n">
        <v>200</v>
      </c>
      <c r="S104" t="n">
        <v>12000</v>
      </c>
      <c r="T104" t="n">
        <v>0</v>
      </c>
      <c r="U104" s="3" t="n">
        <v>0</v>
      </c>
      <c r="V104" s="2" t="n">
        <v>46158</v>
      </c>
      <c r="W104" s="6" t="inlineStr">
        <is>
          <t>Low</t>
        </is>
      </c>
    </row>
    <row r="105">
      <c r="A105" t="inlineStr">
        <is>
          <t>2026-W29</t>
        </is>
      </c>
      <c r="B105" t="inlineStr">
        <is>
          <t>2026-07</t>
        </is>
      </c>
      <c r="C105" s="2" t="n">
        <v>46216</v>
      </c>
      <c r="D105" s="2" t="n">
        <v>46222</v>
      </c>
      <c r="E105" s="2" t="n">
        <v>46234</v>
      </c>
      <c r="F105" t="inlineStr">
        <is>
          <t>MAT-005</t>
        </is>
      </c>
      <c r="G105" t="inlineStr">
        <is>
          <t>NAND Flash</t>
        </is>
      </c>
      <c r="H105" t="n">
        <v>600</v>
      </c>
      <c r="I105" t="n">
        <v>400</v>
      </c>
      <c r="J105" t="n">
        <v>300</v>
      </c>
      <c r="K105" t="n">
        <v>700</v>
      </c>
      <c r="L105" t="n">
        <v>0</v>
      </c>
      <c r="M105" s="3" t="n">
        <v>0</v>
      </c>
      <c r="N105" t="n">
        <v>100</v>
      </c>
      <c r="O105" s="3" t="n">
        <v>1200000</v>
      </c>
      <c r="P105" t="inlineStr">
        <is>
          <t>Supplier D</t>
        </is>
      </c>
      <c r="Q105" t="n">
        <v>50</v>
      </c>
      <c r="R105" t="n">
        <v>200</v>
      </c>
      <c r="S105" t="n">
        <v>12000</v>
      </c>
      <c r="T105" t="n">
        <v>0</v>
      </c>
      <c r="U105" s="3" t="n">
        <v>0</v>
      </c>
      <c r="V105" s="2" t="n">
        <v>46172</v>
      </c>
      <c r="W105" s="6" t="inlineStr">
        <is>
          <t>Low</t>
        </is>
      </c>
    </row>
    <row r="106">
      <c r="A106" t="inlineStr">
        <is>
          <t>2026-W31</t>
        </is>
      </c>
      <c r="B106" t="inlineStr">
        <is>
          <t>2026-08</t>
        </is>
      </c>
      <c r="C106" s="2" t="n">
        <v>46230</v>
      </c>
      <c r="D106" s="2" t="n">
        <v>46236</v>
      </c>
      <c r="E106" s="2" t="n">
        <v>46265</v>
      </c>
      <c r="F106" t="inlineStr">
        <is>
          <t>MAT-005</t>
        </is>
      </c>
      <c r="G106" t="inlineStr">
        <is>
          <t>NAND Flash</t>
        </is>
      </c>
      <c r="H106" t="n">
        <v>560</v>
      </c>
      <c r="I106" t="n">
        <v>400</v>
      </c>
      <c r="J106" t="n">
        <v>300</v>
      </c>
      <c r="K106" t="n">
        <v>700</v>
      </c>
      <c r="L106" t="n">
        <v>0</v>
      </c>
      <c r="M106" s="3" t="n">
        <v>0</v>
      </c>
      <c r="N106" t="n">
        <v>140</v>
      </c>
      <c r="O106" s="3" t="n">
        <v>1680000</v>
      </c>
      <c r="P106" t="inlineStr">
        <is>
          <t>Supplier D</t>
        </is>
      </c>
      <c r="Q106" t="n">
        <v>50</v>
      </c>
      <c r="R106" t="n">
        <v>200</v>
      </c>
      <c r="S106" t="n">
        <v>12000</v>
      </c>
      <c r="T106" t="n">
        <v>0</v>
      </c>
      <c r="U106" s="3" t="n">
        <v>0</v>
      </c>
      <c r="V106" s="2" t="n">
        <v>46186</v>
      </c>
      <c r="W106" s="6" t="inlineStr">
        <is>
          <t>Low</t>
        </is>
      </c>
    </row>
    <row r="107">
      <c r="A107" t="inlineStr">
        <is>
          <t>2026-W33</t>
        </is>
      </c>
      <c r="B107" t="inlineStr">
        <is>
          <t>2026-08</t>
        </is>
      </c>
      <c r="C107" s="2" t="n">
        <v>46244</v>
      </c>
      <c r="D107" s="2" t="n">
        <v>46250</v>
      </c>
      <c r="E107" s="2" t="n">
        <v>46265</v>
      </c>
      <c r="F107" t="inlineStr">
        <is>
          <t>MAT-005</t>
        </is>
      </c>
      <c r="G107" t="inlineStr">
        <is>
          <t>NAND Flash</t>
        </is>
      </c>
      <c r="H107" t="n">
        <v>640</v>
      </c>
      <c r="I107" t="n">
        <v>400</v>
      </c>
      <c r="J107" t="n">
        <v>300</v>
      </c>
      <c r="K107" t="n">
        <v>700</v>
      </c>
      <c r="L107" t="n">
        <v>0</v>
      </c>
      <c r="M107" s="3" t="n">
        <v>0</v>
      </c>
      <c r="N107" t="n">
        <v>60</v>
      </c>
      <c r="O107" s="3" t="n">
        <v>720000</v>
      </c>
      <c r="P107" t="inlineStr">
        <is>
          <t>Supplier D</t>
        </is>
      </c>
      <c r="Q107" t="n">
        <v>50</v>
      </c>
      <c r="R107" t="n">
        <v>200</v>
      </c>
      <c r="S107" t="n">
        <v>12000</v>
      </c>
      <c r="T107" t="n">
        <v>0</v>
      </c>
      <c r="U107" s="3" t="n">
        <v>0</v>
      </c>
      <c r="V107" s="2" t="n">
        <v>46200</v>
      </c>
      <c r="W107" s="6" t="inlineStr">
        <is>
          <t>Low</t>
        </is>
      </c>
    </row>
    <row r="108">
      <c r="A108" t="inlineStr">
        <is>
          <t>2026-W35</t>
        </is>
      </c>
      <c r="B108" t="inlineStr">
        <is>
          <t>2026-08</t>
        </is>
      </c>
      <c r="C108" s="2" t="n">
        <v>46258</v>
      </c>
      <c r="D108" s="2" t="n">
        <v>46264</v>
      </c>
      <c r="E108" s="2" t="n">
        <v>46265</v>
      </c>
      <c r="F108" t="inlineStr">
        <is>
          <t>MAT-005</t>
        </is>
      </c>
      <c r="G108" t="inlineStr">
        <is>
          <t>NAND Flash</t>
        </is>
      </c>
      <c r="H108" t="n">
        <v>680</v>
      </c>
      <c r="I108" t="n">
        <v>400</v>
      </c>
      <c r="J108" t="n">
        <v>300</v>
      </c>
      <c r="K108" t="n">
        <v>700</v>
      </c>
      <c r="L108" t="n">
        <v>0</v>
      </c>
      <c r="M108" s="3" t="n">
        <v>0</v>
      </c>
      <c r="N108" t="n">
        <v>20</v>
      </c>
      <c r="O108" s="3" t="n">
        <v>240000</v>
      </c>
      <c r="P108" t="inlineStr">
        <is>
          <t>Supplier D</t>
        </is>
      </c>
      <c r="Q108" t="n">
        <v>50</v>
      </c>
      <c r="R108" t="n">
        <v>200</v>
      </c>
      <c r="S108" t="n">
        <v>12000</v>
      </c>
      <c r="T108" t="n">
        <v>0</v>
      </c>
      <c r="U108" s="3" t="n">
        <v>0</v>
      </c>
      <c r="V108" s="2" t="n">
        <v>46214</v>
      </c>
      <c r="W108" s="6" t="inlineStr">
        <is>
          <t>Low</t>
        </is>
      </c>
    </row>
    <row r="109">
      <c r="A109" t="inlineStr">
        <is>
          <t>2026-W28</t>
        </is>
      </c>
      <c r="B109" t="inlineStr">
        <is>
          <t>2026-07</t>
        </is>
      </c>
      <c r="C109" s="2" t="n">
        <v>46209</v>
      </c>
      <c r="D109" s="2" t="n">
        <v>46215</v>
      </c>
      <c r="E109" s="2" t="n">
        <v>46234</v>
      </c>
      <c r="F109" t="inlineStr">
        <is>
          <t>MAT-006</t>
        </is>
      </c>
      <c r="G109" t="inlineStr">
        <is>
          <t>MCU</t>
        </is>
      </c>
      <c r="H109" t="n">
        <v>120</v>
      </c>
      <c r="I109" t="n">
        <v>250</v>
      </c>
      <c r="J109" t="n">
        <v>100</v>
      </c>
      <c r="K109" t="n">
        <v>350</v>
      </c>
      <c r="L109" t="n">
        <v>0</v>
      </c>
      <c r="M109" s="3" t="n">
        <v>0</v>
      </c>
      <c r="N109" t="n">
        <v>230</v>
      </c>
      <c r="O109" s="3" t="n">
        <v>3450000</v>
      </c>
      <c r="P109" t="inlineStr">
        <is>
          <t>Supplier E</t>
        </is>
      </c>
      <c r="Q109" t="n">
        <v>40</v>
      </c>
      <c r="R109" t="n">
        <v>100</v>
      </c>
      <c r="S109" t="n">
        <v>15000</v>
      </c>
      <c r="T109" t="n">
        <v>0</v>
      </c>
      <c r="U109" s="3" t="n">
        <v>0</v>
      </c>
      <c r="V109" s="2" t="n">
        <v>46175</v>
      </c>
      <c r="W109" s="6" t="inlineStr">
        <is>
          <t>Low</t>
        </is>
      </c>
    </row>
    <row r="110">
      <c r="A110" t="inlineStr">
        <is>
          <t>2026-W30</t>
        </is>
      </c>
      <c r="B110" t="inlineStr">
        <is>
          <t>2026-07</t>
        </is>
      </c>
      <c r="C110" s="2" t="n">
        <v>46223</v>
      </c>
      <c r="D110" s="2" t="n">
        <v>46229</v>
      </c>
      <c r="E110" s="2" t="n">
        <v>46234</v>
      </c>
      <c r="F110" t="inlineStr">
        <is>
          <t>MAT-006</t>
        </is>
      </c>
      <c r="G110" t="inlineStr">
        <is>
          <t>MCU</t>
        </is>
      </c>
      <c r="H110" t="n">
        <v>150</v>
      </c>
      <c r="I110" t="n">
        <v>250</v>
      </c>
      <c r="J110" t="n">
        <v>100</v>
      </c>
      <c r="K110" t="n">
        <v>350</v>
      </c>
      <c r="L110" t="n">
        <v>0</v>
      </c>
      <c r="M110" s="3" t="n">
        <v>0</v>
      </c>
      <c r="N110" t="n">
        <v>200</v>
      </c>
      <c r="O110" s="3" t="n">
        <v>3000000</v>
      </c>
      <c r="P110" t="inlineStr">
        <is>
          <t>Supplier E</t>
        </is>
      </c>
      <c r="Q110" t="n">
        <v>40</v>
      </c>
      <c r="R110" t="n">
        <v>100</v>
      </c>
      <c r="S110" t="n">
        <v>15000</v>
      </c>
      <c r="T110" t="n">
        <v>0</v>
      </c>
      <c r="U110" s="3" t="n">
        <v>0</v>
      </c>
      <c r="V110" s="2" t="n">
        <v>46189</v>
      </c>
      <c r="W110" s="6" t="inlineStr">
        <is>
          <t>Low</t>
        </is>
      </c>
    </row>
    <row r="111">
      <c r="A111" t="inlineStr">
        <is>
          <t>2026-W32</t>
        </is>
      </c>
      <c r="B111" t="inlineStr">
        <is>
          <t>2026-08</t>
        </is>
      </c>
      <c r="C111" s="2" t="n">
        <v>46237</v>
      </c>
      <c r="D111" s="2" t="n">
        <v>46243</v>
      </c>
      <c r="E111" s="2" t="n">
        <v>46265</v>
      </c>
      <c r="F111" t="inlineStr">
        <is>
          <t>MAT-006</t>
        </is>
      </c>
      <c r="G111" t="inlineStr">
        <is>
          <t>MCU</t>
        </is>
      </c>
      <c r="H111" t="n">
        <v>180</v>
      </c>
      <c r="I111" t="n">
        <v>250</v>
      </c>
      <c r="J111" t="n">
        <v>100</v>
      </c>
      <c r="K111" t="n">
        <v>350</v>
      </c>
      <c r="L111" t="n">
        <v>0</v>
      </c>
      <c r="M111" s="3" t="n">
        <v>0</v>
      </c>
      <c r="N111" t="n">
        <v>170</v>
      </c>
      <c r="O111" s="3" t="n">
        <v>2550000</v>
      </c>
      <c r="P111" t="inlineStr">
        <is>
          <t>Supplier E</t>
        </is>
      </c>
      <c r="Q111" t="n">
        <v>40</v>
      </c>
      <c r="R111" t="n">
        <v>100</v>
      </c>
      <c r="S111" t="n">
        <v>15000</v>
      </c>
      <c r="T111" t="n">
        <v>0</v>
      </c>
      <c r="U111" s="3" t="n">
        <v>0</v>
      </c>
      <c r="V111" s="2" t="n">
        <v>46203</v>
      </c>
      <c r="W111" s="6" t="inlineStr">
        <is>
          <t>Low</t>
        </is>
      </c>
    </row>
    <row r="112">
      <c r="A112" t="inlineStr">
        <is>
          <t>2026-W34</t>
        </is>
      </c>
      <c r="B112" t="inlineStr">
        <is>
          <t>2026-08</t>
        </is>
      </c>
      <c r="C112" s="2" t="n">
        <v>46251</v>
      </c>
      <c r="D112" s="2" t="n">
        <v>46257</v>
      </c>
      <c r="E112" s="2" t="n">
        <v>46265</v>
      </c>
      <c r="F112" t="inlineStr">
        <is>
          <t>MAT-006</t>
        </is>
      </c>
      <c r="G112" t="inlineStr">
        <is>
          <t>MCU</t>
        </is>
      </c>
      <c r="H112" t="n">
        <v>190</v>
      </c>
      <c r="I112" t="n">
        <v>250</v>
      </c>
      <c r="J112" t="n">
        <v>100</v>
      </c>
      <c r="K112" t="n">
        <v>350</v>
      </c>
      <c r="L112" t="n">
        <v>0</v>
      </c>
      <c r="M112" s="3" t="n">
        <v>0</v>
      </c>
      <c r="N112" t="n">
        <v>160</v>
      </c>
      <c r="O112" s="3" t="n">
        <v>2400000</v>
      </c>
      <c r="P112" t="inlineStr">
        <is>
          <t>Supplier E</t>
        </is>
      </c>
      <c r="Q112" t="n">
        <v>40</v>
      </c>
      <c r="R112" t="n">
        <v>100</v>
      </c>
      <c r="S112" t="n">
        <v>15000</v>
      </c>
      <c r="T112" t="n">
        <v>0</v>
      </c>
      <c r="U112" s="3" t="n">
        <v>0</v>
      </c>
      <c r="V112" s="2" t="n">
        <v>46217</v>
      </c>
      <c r="W112" s="6" t="inlineStr">
        <is>
          <t>Low</t>
        </is>
      </c>
    </row>
    <row r="113">
      <c r="A113" t="inlineStr">
        <is>
          <t>2026-W36</t>
        </is>
      </c>
      <c r="B113" t="inlineStr">
        <is>
          <t>2026-09</t>
        </is>
      </c>
      <c r="C113" s="2" t="n">
        <v>46265</v>
      </c>
      <c r="D113" s="2" t="n">
        <v>46271</v>
      </c>
      <c r="E113" s="2" t="n">
        <v>46295</v>
      </c>
      <c r="F113" t="inlineStr">
        <is>
          <t>MAT-006</t>
        </is>
      </c>
      <c r="G113" t="inlineStr">
        <is>
          <t>MCU</t>
        </is>
      </c>
      <c r="H113" t="n">
        <v>210</v>
      </c>
      <c r="I113" t="n">
        <v>250</v>
      </c>
      <c r="J113" t="n">
        <v>100</v>
      </c>
      <c r="K113" t="n">
        <v>350</v>
      </c>
      <c r="L113" t="n">
        <v>0</v>
      </c>
      <c r="M113" s="3" t="n">
        <v>0</v>
      </c>
      <c r="N113" t="n">
        <v>140</v>
      </c>
      <c r="O113" s="3" t="n">
        <v>2100000</v>
      </c>
      <c r="P113" t="inlineStr">
        <is>
          <t>Supplier E</t>
        </is>
      </c>
      <c r="Q113" t="n">
        <v>40</v>
      </c>
      <c r="R113" t="n">
        <v>100</v>
      </c>
      <c r="S113" t="n">
        <v>15000</v>
      </c>
      <c r="T113" t="n">
        <v>0</v>
      </c>
      <c r="U113" s="3" t="n">
        <v>0</v>
      </c>
      <c r="V113" s="2" t="n">
        <v>46231</v>
      </c>
      <c r="W113" s="6" t="inlineStr">
        <is>
          <t>Low</t>
        </is>
      </c>
    </row>
    <row r="114">
      <c r="A114" t="inlineStr">
        <is>
          <t>2026-W38</t>
        </is>
      </c>
      <c r="B114" t="inlineStr">
        <is>
          <t>2026-09</t>
        </is>
      </c>
      <c r="C114" s="2" t="n">
        <v>46279</v>
      </c>
      <c r="D114" s="2" t="n">
        <v>46285</v>
      </c>
      <c r="E114" s="2" t="n">
        <v>46295</v>
      </c>
      <c r="F114" t="inlineStr">
        <is>
          <t>MAT-006</t>
        </is>
      </c>
      <c r="G114" t="inlineStr">
        <is>
          <t>MCU</t>
        </is>
      </c>
      <c r="H114" t="n">
        <v>230</v>
      </c>
      <c r="I114" t="n">
        <v>250</v>
      </c>
      <c r="J114" t="n">
        <v>100</v>
      </c>
      <c r="K114" t="n">
        <v>350</v>
      </c>
      <c r="L114" t="n">
        <v>0</v>
      </c>
      <c r="M114" s="3" t="n">
        <v>0</v>
      </c>
      <c r="N114" t="n">
        <v>120</v>
      </c>
      <c r="O114" s="3" t="n">
        <v>1800000</v>
      </c>
      <c r="P114" t="inlineStr">
        <is>
          <t>Supplier E</t>
        </is>
      </c>
      <c r="Q114" t="n">
        <v>40</v>
      </c>
      <c r="R114" t="n">
        <v>100</v>
      </c>
      <c r="S114" t="n">
        <v>15000</v>
      </c>
      <c r="T114" t="n">
        <v>0</v>
      </c>
      <c r="U114" s="3" t="n">
        <v>0</v>
      </c>
      <c r="V114" s="2" t="n">
        <v>46245</v>
      </c>
      <c r="W114" s="6" t="inlineStr">
        <is>
          <t>Low</t>
        </is>
      </c>
    </row>
    <row r="115">
      <c r="A115" t="inlineStr">
        <is>
          <t>2026-W27</t>
        </is>
      </c>
      <c r="B115" t="inlineStr">
        <is>
          <t>2026-07</t>
        </is>
      </c>
      <c r="C115" s="2" t="n">
        <v>46202</v>
      </c>
      <c r="D115" s="2" t="n">
        <v>46208</v>
      </c>
      <c r="E115" s="2" t="n">
        <v>46234</v>
      </c>
      <c r="F115" t="inlineStr">
        <is>
          <t>MAT-007</t>
        </is>
      </c>
      <c r="G115" t="inlineStr">
        <is>
          <t>Sensor IC</t>
        </is>
      </c>
      <c r="H115" t="n">
        <v>200</v>
      </c>
      <c r="I115" t="n">
        <v>100</v>
      </c>
      <c r="J115" t="n">
        <v>200</v>
      </c>
      <c r="K115" t="n">
        <v>300</v>
      </c>
      <c r="L115" t="n">
        <v>0</v>
      </c>
      <c r="M115" s="3" t="n">
        <v>0</v>
      </c>
      <c r="N115" t="n">
        <v>100</v>
      </c>
      <c r="O115" s="3" t="n">
        <v>700000</v>
      </c>
      <c r="P115" t="inlineStr">
        <is>
          <t>Supplier F</t>
        </is>
      </c>
      <c r="Q115" t="n">
        <v>55</v>
      </c>
      <c r="R115" t="n">
        <v>100</v>
      </c>
      <c r="S115" t="n">
        <v>7000</v>
      </c>
      <c r="T115" t="n">
        <v>0</v>
      </c>
      <c r="U115" s="3" t="n">
        <v>0</v>
      </c>
      <c r="V115" s="2" t="n">
        <v>46153</v>
      </c>
      <c r="W115" s="6" t="inlineStr">
        <is>
          <t>Low</t>
        </is>
      </c>
    </row>
    <row r="116">
      <c r="A116" t="inlineStr">
        <is>
          <t>2026-W28</t>
        </is>
      </c>
      <c r="B116" t="inlineStr">
        <is>
          <t>2026-07</t>
        </is>
      </c>
      <c r="C116" s="2" t="n">
        <v>46209</v>
      </c>
      <c r="D116" s="2" t="n">
        <v>46215</v>
      </c>
      <c r="E116" s="2" t="n">
        <v>46234</v>
      </c>
      <c r="F116" t="inlineStr">
        <is>
          <t>MAT-007</t>
        </is>
      </c>
      <c r="G116" t="inlineStr">
        <is>
          <t>Sensor IC</t>
        </is>
      </c>
      <c r="H116" t="n">
        <v>200</v>
      </c>
      <c r="I116" t="n">
        <v>100</v>
      </c>
      <c r="J116" t="n">
        <v>200</v>
      </c>
      <c r="K116" t="n">
        <v>300</v>
      </c>
      <c r="L116" t="n">
        <v>0</v>
      </c>
      <c r="M116" s="3" t="n">
        <v>0</v>
      </c>
      <c r="N116" t="n">
        <v>100</v>
      </c>
      <c r="O116" s="3" t="n">
        <v>700000</v>
      </c>
      <c r="P116" t="inlineStr">
        <is>
          <t>Supplier F</t>
        </is>
      </c>
      <c r="Q116" t="n">
        <v>55</v>
      </c>
      <c r="R116" t="n">
        <v>100</v>
      </c>
      <c r="S116" t="n">
        <v>7000</v>
      </c>
      <c r="T116" t="n">
        <v>0</v>
      </c>
      <c r="U116" s="3" t="n">
        <v>0</v>
      </c>
      <c r="V116" s="2" t="n">
        <v>46160</v>
      </c>
      <c r="W116" s="6" t="inlineStr">
        <is>
          <t>Low</t>
        </is>
      </c>
    </row>
    <row r="117">
      <c r="A117" t="inlineStr">
        <is>
          <t>2026-W29</t>
        </is>
      </c>
      <c r="B117" t="inlineStr">
        <is>
          <t>2026-07</t>
        </is>
      </c>
      <c r="C117" s="2" t="n">
        <v>46216</v>
      </c>
      <c r="D117" s="2" t="n">
        <v>46222</v>
      </c>
      <c r="E117" s="2" t="n">
        <v>46234</v>
      </c>
      <c r="F117" t="inlineStr">
        <is>
          <t>MAT-007</t>
        </is>
      </c>
      <c r="G117" t="inlineStr">
        <is>
          <t>Sensor IC</t>
        </is>
      </c>
      <c r="H117" t="n">
        <v>220</v>
      </c>
      <c r="I117" t="n">
        <v>100</v>
      </c>
      <c r="J117" t="n">
        <v>200</v>
      </c>
      <c r="K117" t="n">
        <v>300</v>
      </c>
      <c r="L117" t="n">
        <v>0</v>
      </c>
      <c r="M117" s="3" t="n">
        <v>0</v>
      </c>
      <c r="N117" t="n">
        <v>80</v>
      </c>
      <c r="O117" s="3" t="n">
        <v>560000</v>
      </c>
      <c r="P117" t="inlineStr">
        <is>
          <t>Supplier F</t>
        </is>
      </c>
      <c r="Q117" t="n">
        <v>55</v>
      </c>
      <c r="R117" t="n">
        <v>100</v>
      </c>
      <c r="S117" t="n">
        <v>7000</v>
      </c>
      <c r="T117" t="n">
        <v>0</v>
      </c>
      <c r="U117" s="3" t="n">
        <v>0</v>
      </c>
      <c r="V117" s="2" t="n">
        <v>46167</v>
      </c>
      <c r="W117" s="6" t="inlineStr">
        <is>
          <t>Low</t>
        </is>
      </c>
    </row>
    <row r="118">
      <c r="A118" t="inlineStr">
        <is>
          <t>2026-W33</t>
        </is>
      </c>
      <c r="B118" t="inlineStr">
        <is>
          <t>2026-08</t>
        </is>
      </c>
      <c r="C118" s="2" t="n">
        <v>46244</v>
      </c>
      <c r="D118" s="2" t="n">
        <v>46250</v>
      </c>
      <c r="E118" s="2" t="n">
        <v>46265</v>
      </c>
      <c r="F118" t="inlineStr">
        <is>
          <t>MAT-007</t>
        </is>
      </c>
      <c r="G118" t="inlineStr">
        <is>
          <t>Sensor IC</t>
        </is>
      </c>
      <c r="H118" t="n">
        <v>260</v>
      </c>
      <c r="I118" t="n">
        <v>100</v>
      </c>
      <c r="J118" t="n">
        <v>200</v>
      </c>
      <c r="K118" t="n">
        <v>300</v>
      </c>
      <c r="L118" t="n">
        <v>0</v>
      </c>
      <c r="M118" s="3" t="n">
        <v>0</v>
      </c>
      <c r="N118" t="n">
        <v>40</v>
      </c>
      <c r="O118" s="3" t="n">
        <v>280000</v>
      </c>
      <c r="P118" t="inlineStr">
        <is>
          <t>Supplier F</t>
        </is>
      </c>
      <c r="Q118" t="n">
        <v>55</v>
      </c>
      <c r="R118" t="n">
        <v>100</v>
      </c>
      <c r="S118" t="n">
        <v>7000</v>
      </c>
      <c r="T118" t="n">
        <v>0</v>
      </c>
      <c r="U118" s="3" t="n">
        <v>0</v>
      </c>
      <c r="V118" s="2" t="n">
        <v>46195</v>
      </c>
      <c r="W118" s="6" t="inlineStr">
        <is>
          <t>Low</t>
        </is>
      </c>
    </row>
    <row r="119">
      <c r="A119" t="inlineStr">
        <is>
          <t>2026-W35</t>
        </is>
      </c>
      <c r="B119" t="inlineStr">
        <is>
          <t>2026-08</t>
        </is>
      </c>
      <c r="C119" s="2" t="n">
        <v>46258</v>
      </c>
      <c r="D119" s="2" t="n">
        <v>46264</v>
      </c>
      <c r="E119" s="2" t="n">
        <v>46265</v>
      </c>
      <c r="F119" t="inlineStr">
        <is>
          <t>MAT-007</t>
        </is>
      </c>
      <c r="G119" t="inlineStr">
        <is>
          <t>Sensor IC</t>
        </is>
      </c>
      <c r="H119" t="n">
        <v>280</v>
      </c>
      <c r="I119" t="n">
        <v>100</v>
      </c>
      <c r="J119" t="n">
        <v>200</v>
      </c>
      <c r="K119" t="n">
        <v>300</v>
      </c>
      <c r="L119" t="n">
        <v>0</v>
      </c>
      <c r="M119" s="3" t="n">
        <v>0</v>
      </c>
      <c r="N119" t="n">
        <v>20</v>
      </c>
      <c r="O119" s="3" t="n">
        <v>140000</v>
      </c>
      <c r="P119" t="inlineStr">
        <is>
          <t>Supplier F</t>
        </is>
      </c>
      <c r="Q119" t="n">
        <v>55</v>
      </c>
      <c r="R119" t="n">
        <v>100</v>
      </c>
      <c r="S119" t="n">
        <v>7000</v>
      </c>
      <c r="T119" t="n">
        <v>0</v>
      </c>
      <c r="U119" s="3" t="n">
        <v>0</v>
      </c>
      <c r="V119" s="2" t="n">
        <v>46209</v>
      </c>
      <c r="W119" s="6" t="inlineStr">
        <is>
          <t>Low</t>
        </is>
      </c>
    </row>
    <row r="120">
      <c r="A120" t="inlineStr">
        <is>
          <t>2026-W27</t>
        </is>
      </c>
      <c r="B120" t="inlineStr">
        <is>
          <t>2026-07</t>
        </is>
      </c>
      <c r="C120" s="2" t="n">
        <v>46202</v>
      </c>
      <c r="D120" s="2" t="n">
        <v>46208</v>
      </c>
      <c r="E120" s="2" t="n">
        <v>46234</v>
      </c>
      <c r="F120" t="inlineStr">
        <is>
          <t>MAT-008</t>
        </is>
      </c>
      <c r="G120" t="inlineStr">
        <is>
          <t>PMIC</t>
        </is>
      </c>
      <c r="H120" t="n">
        <v>150</v>
      </c>
      <c r="I120" t="n">
        <v>600</v>
      </c>
      <c r="J120" t="n">
        <v>0</v>
      </c>
      <c r="K120" t="n">
        <v>600</v>
      </c>
      <c r="L120" t="n">
        <v>0</v>
      </c>
      <c r="M120" s="3" t="n">
        <v>0</v>
      </c>
      <c r="N120" t="n">
        <v>450</v>
      </c>
      <c r="O120" s="3" t="n">
        <v>2700000</v>
      </c>
      <c r="P120" t="inlineStr">
        <is>
          <t>Supplier B</t>
        </is>
      </c>
      <c r="Q120" t="n">
        <v>35</v>
      </c>
      <c r="R120" t="n">
        <v>100</v>
      </c>
      <c r="S120" t="n">
        <v>6000</v>
      </c>
      <c r="T120" t="n">
        <v>0</v>
      </c>
      <c r="U120" s="3" t="n">
        <v>0</v>
      </c>
      <c r="V120" s="2" t="n">
        <v>46173</v>
      </c>
      <c r="W120" s="6" t="inlineStr">
        <is>
          <t>Low</t>
        </is>
      </c>
    </row>
    <row r="121">
      <c r="A121" t="inlineStr">
        <is>
          <t>2026-W30</t>
        </is>
      </c>
      <c r="B121" t="inlineStr">
        <is>
          <t>2026-07</t>
        </is>
      </c>
      <c r="C121" s="2" t="n">
        <v>46223</v>
      </c>
      <c r="D121" s="2" t="n">
        <v>46229</v>
      </c>
      <c r="E121" s="2" t="n">
        <v>46234</v>
      </c>
      <c r="F121" t="inlineStr">
        <is>
          <t>MAT-008</t>
        </is>
      </c>
      <c r="G121" t="inlineStr">
        <is>
          <t>PMIC</t>
        </is>
      </c>
      <c r="H121" t="n">
        <v>180</v>
      </c>
      <c r="I121" t="n">
        <v>600</v>
      </c>
      <c r="J121" t="n">
        <v>0</v>
      </c>
      <c r="K121" t="n">
        <v>600</v>
      </c>
      <c r="L121" t="n">
        <v>0</v>
      </c>
      <c r="M121" s="3" t="n">
        <v>0</v>
      </c>
      <c r="N121" t="n">
        <v>420</v>
      </c>
      <c r="O121" s="3" t="n">
        <v>2520000</v>
      </c>
      <c r="P121" t="inlineStr">
        <is>
          <t>Supplier B</t>
        </is>
      </c>
      <c r="Q121" t="n">
        <v>35</v>
      </c>
      <c r="R121" t="n">
        <v>100</v>
      </c>
      <c r="S121" t="n">
        <v>6000</v>
      </c>
      <c r="T121" t="n">
        <v>0</v>
      </c>
      <c r="U121" s="3" t="n">
        <v>0</v>
      </c>
      <c r="V121" s="2" t="n">
        <v>46194</v>
      </c>
      <c r="W121" s="6" t="inlineStr">
        <is>
          <t>Low</t>
        </is>
      </c>
    </row>
    <row r="122">
      <c r="A122" t="inlineStr">
        <is>
          <t>2026-W32</t>
        </is>
      </c>
      <c r="B122" t="inlineStr">
        <is>
          <t>2026-08</t>
        </is>
      </c>
      <c r="C122" s="2" t="n">
        <v>46237</v>
      </c>
      <c r="D122" s="2" t="n">
        <v>46243</v>
      </c>
      <c r="E122" s="2" t="n">
        <v>46265</v>
      </c>
      <c r="F122" t="inlineStr">
        <is>
          <t>MAT-008</t>
        </is>
      </c>
      <c r="G122" t="inlineStr">
        <is>
          <t>PMIC</t>
        </is>
      </c>
      <c r="H122" t="n">
        <v>210</v>
      </c>
      <c r="I122" t="n">
        <v>600</v>
      </c>
      <c r="J122" t="n">
        <v>0</v>
      </c>
      <c r="K122" t="n">
        <v>600</v>
      </c>
      <c r="L122" t="n">
        <v>0</v>
      </c>
      <c r="M122" s="3" t="n">
        <v>0</v>
      </c>
      <c r="N122" t="n">
        <v>390</v>
      </c>
      <c r="O122" s="3" t="n">
        <v>2340000</v>
      </c>
      <c r="P122" t="inlineStr">
        <is>
          <t>Supplier B</t>
        </is>
      </c>
      <c r="Q122" t="n">
        <v>35</v>
      </c>
      <c r="R122" t="n">
        <v>100</v>
      </c>
      <c r="S122" t="n">
        <v>6000</v>
      </c>
      <c r="T122" t="n">
        <v>0</v>
      </c>
      <c r="U122" s="3" t="n">
        <v>0</v>
      </c>
      <c r="V122" s="2" t="n">
        <v>46208</v>
      </c>
      <c r="W122" s="6" t="inlineStr">
        <is>
          <t>Low</t>
        </is>
      </c>
    </row>
    <row r="123">
      <c r="A123" t="inlineStr">
        <is>
          <t>2026-W34</t>
        </is>
      </c>
      <c r="B123" t="inlineStr">
        <is>
          <t>2026-08</t>
        </is>
      </c>
      <c r="C123" s="2" t="n">
        <v>46251</v>
      </c>
      <c r="D123" s="2" t="n">
        <v>46257</v>
      </c>
      <c r="E123" s="2" t="n">
        <v>46265</v>
      </c>
      <c r="F123" t="inlineStr">
        <is>
          <t>MAT-008</t>
        </is>
      </c>
      <c r="G123" t="inlineStr">
        <is>
          <t>PMIC</t>
        </is>
      </c>
      <c r="H123" t="n">
        <v>220</v>
      </c>
      <c r="I123" t="n">
        <v>600</v>
      </c>
      <c r="J123" t="n">
        <v>0</v>
      </c>
      <c r="K123" t="n">
        <v>600</v>
      </c>
      <c r="L123" t="n">
        <v>0</v>
      </c>
      <c r="M123" s="3" t="n">
        <v>0</v>
      </c>
      <c r="N123" t="n">
        <v>380</v>
      </c>
      <c r="O123" s="3" t="n">
        <v>2280000</v>
      </c>
      <c r="P123" t="inlineStr">
        <is>
          <t>Supplier B</t>
        </is>
      </c>
      <c r="Q123" t="n">
        <v>35</v>
      </c>
      <c r="R123" t="n">
        <v>100</v>
      </c>
      <c r="S123" t="n">
        <v>6000</v>
      </c>
      <c r="T123" t="n">
        <v>0</v>
      </c>
      <c r="U123" s="3" t="n">
        <v>0</v>
      </c>
      <c r="V123" s="2" t="n">
        <v>46222</v>
      </c>
      <c r="W123" s="6" t="inlineStr">
        <is>
          <t>Low</t>
        </is>
      </c>
    </row>
    <row r="124">
      <c r="A124" t="inlineStr">
        <is>
          <t>2026-W38</t>
        </is>
      </c>
      <c r="B124" t="inlineStr">
        <is>
          <t>2026-09</t>
        </is>
      </c>
      <c r="C124" s="2" t="n">
        <v>46279</v>
      </c>
      <c r="D124" s="2" t="n">
        <v>46285</v>
      </c>
      <c r="E124" s="2" t="n">
        <v>46295</v>
      </c>
      <c r="F124" t="inlineStr">
        <is>
          <t>MAT-008</t>
        </is>
      </c>
      <c r="G124" t="inlineStr">
        <is>
          <t>PMIC</t>
        </is>
      </c>
      <c r="H124" t="n">
        <v>250</v>
      </c>
      <c r="I124" t="n">
        <v>600</v>
      </c>
      <c r="J124" t="n">
        <v>0</v>
      </c>
      <c r="K124" t="n">
        <v>600</v>
      </c>
      <c r="L124" t="n">
        <v>0</v>
      </c>
      <c r="M124" s="3" t="n">
        <v>0</v>
      </c>
      <c r="N124" t="n">
        <v>350</v>
      </c>
      <c r="O124" s="3" t="n">
        <v>2100000</v>
      </c>
      <c r="P124" t="inlineStr">
        <is>
          <t>Supplier B</t>
        </is>
      </c>
      <c r="Q124" t="n">
        <v>35</v>
      </c>
      <c r="R124" t="n">
        <v>100</v>
      </c>
      <c r="S124" t="n">
        <v>6000</v>
      </c>
      <c r="T124" t="n">
        <v>0</v>
      </c>
      <c r="U124" s="3" t="n">
        <v>0</v>
      </c>
      <c r="V124" s="2" t="n">
        <v>46250</v>
      </c>
      <c r="W124" s="6" t="inlineStr">
        <is>
          <t>Low</t>
        </is>
      </c>
    </row>
    <row r="125">
      <c r="A125" t="inlineStr">
        <is>
          <t>2026-W27</t>
        </is>
      </c>
      <c r="B125" t="inlineStr">
        <is>
          <t>2026-07</t>
        </is>
      </c>
      <c r="C125" s="2" t="n">
        <v>46202</v>
      </c>
      <c r="D125" s="2" t="n">
        <v>46208</v>
      </c>
      <c r="E125" s="2" t="n">
        <v>46234</v>
      </c>
      <c r="F125" t="inlineStr">
        <is>
          <t>MAT-009</t>
        </is>
      </c>
      <c r="G125" t="inlineStr">
        <is>
          <t>Crystal</t>
        </is>
      </c>
      <c r="H125" t="n">
        <v>300</v>
      </c>
      <c r="I125" t="n">
        <v>1500</v>
      </c>
      <c r="J125" t="n">
        <v>0</v>
      </c>
      <c r="K125" t="n">
        <v>1500</v>
      </c>
      <c r="L125" t="n">
        <v>0</v>
      </c>
      <c r="M125" s="3" t="n">
        <v>0</v>
      </c>
      <c r="N125" t="n">
        <v>1200</v>
      </c>
      <c r="O125" s="3" t="n">
        <v>1200000</v>
      </c>
      <c r="P125" t="inlineStr">
        <is>
          <t>Supplier C</t>
        </is>
      </c>
      <c r="Q125" t="n">
        <v>20</v>
      </c>
      <c r="R125" t="n">
        <v>500</v>
      </c>
      <c r="S125" t="n">
        <v>1000</v>
      </c>
      <c r="T125" t="n">
        <v>0</v>
      </c>
      <c r="U125" s="3" t="n">
        <v>0</v>
      </c>
      <c r="V125" s="2" t="n">
        <v>46188</v>
      </c>
      <c r="W125" s="6" t="inlineStr">
        <is>
          <t>Low</t>
        </is>
      </c>
    </row>
    <row r="126">
      <c r="A126" t="inlineStr">
        <is>
          <t>2026-W30</t>
        </is>
      </c>
      <c r="B126" t="inlineStr">
        <is>
          <t>2026-07</t>
        </is>
      </c>
      <c r="C126" s="2" t="n">
        <v>46223</v>
      </c>
      <c r="D126" s="2" t="n">
        <v>46229</v>
      </c>
      <c r="E126" s="2" t="n">
        <v>46234</v>
      </c>
      <c r="F126" t="inlineStr">
        <is>
          <t>MAT-009</t>
        </is>
      </c>
      <c r="G126" t="inlineStr">
        <is>
          <t>Crystal</t>
        </is>
      </c>
      <c r="H126" t="n">
        <v>360</v>
      </c>
      <c r="I126" t="n">
        <v>1500</v>
      </c>
      <c r="J126" t="n">
        <v>0</v>
      </c>
      <c r="K126" t="n">
        <v>1500</v>
      </c>
      <c r="L126" t="n">
        <v>0</v>
      </c>
      <c r="M126" s="3" t="n">
        <v>0</v>
      </c>
      <c r="N126" t="n">
        <v>1140</v>
      </c>
      <c r="O126" s="3" t="n">
        <v>1140000</v>
      </c>
      <c r="P126" t="inlineStr">
        <is>
          <t>Supplier C</t>
        </is>
      </c>
      <c r="Q126" t="n">
        <v>20</v>
      </c>
      <c r="R126" t="n">
        <v>500</v>
      </c>
      <c r="S126" t="n">
        <v>1000</v>
      </c>
      <c r="T126" t="n">
        <v>0</v>
      </c>
      <c r="U126" s="3" t="n">
        <v>0</v>
      </c>
      <c r="V126" s="2" t="n">
        <v>46209</v>
      </c>
      <c r="W126" s="6" t="inlineStr">
        <is>
          <t>Low</t>
        </is>
      </c>
    </row>
    <row r="127">
      <c r="A127" t="inlineStr">
        <is>
          <t>2026-W32</t>
        </is>
      </c>
      <c r="B127" t="inlineStr">
        <is>
          <t>2026-08</t>
        </is>
      </c>
      <c r="C127" s="2" t="n">
        <v>46237</v>
      </c>
      <c r="D127" s="2" t="n">
        <v>46243</v>
      </c>
      <c r="E127" s="2" t="n">
        <v>46265</v>
      </c>
      <c r="F127" t="inlineStr">
        <is>
          <t>MAT-009</t>
        </is>
      </c>
      <c r="G127" t="inlineStr">
        <is>
          <t>Crystal</t>
        </is>
      </c>
      <c r="H127" t="n">
        <v>420</v>
      </c>
      <c r="I127" t="n">
        <v>1500</v>
      </c>
      <c r="J127" t="n">
        <v>0</v>
      </c>
      <c r="K127" t="n">
        <v>1500</v>
      </c>
      <c r="L127" t="n">
        <v>0</v>
      </c>
      <c r="M127" s="3" t="n">
        <v>0</v>
      </c>
      <c r="N127" t="n">
        <v>1080</v>
      </c>
      <c r="O127" s="3" t="n">
        <v>1080000</v>
      </c>
      <c r="P127" t="inlineStr">
        <is>
          <t>Supplier C</t>
        </is>
      </c>
      <c r="Q127" t="n">
        <v>20</v>
      </c>
      <c r="R127" t="n">
        <v>500</v>
      </c>
      <c r="S127" t="n">
        <v>1000</v>
      </c>
      <c r="T127" t="n">
        <v>0</v>
      </c>
      <c r="U127" s="3" t="n">
        <v>0</v>
      </c>
      <c r="V127" s="2" t="n">
        <v>46223</v>
      </c>
      <c r="W127" s="6" t="inlineStr">
        <is>
          <t>Low</t>
        </is>
      </c>
    </row>
    <row r="128">
      <c r="A128" t="inlineStr">
        <is>
          <t>2026-W34</t>
        </is>
      </c>
      <c r="B128" t="inlineStr">
        <is>
          <t>2026-08</t>
        </is>
      </c>
      <c r="C128" s="2" t="n">
        <v>46251</v>
      </c>
      <c r="D128" s="2" t="n">
        <v>46257</v>
      </c>
      <c r="E128" s="2" t="n">
        <v>46265</v>
      </c>
      <c r="F128" t="inlineStr">
        <is>
          <t>MAT-009</t>
        </is>
      </c>
      <c r="G128" t="inlineStr">
        <is>
          <t>Crystal</t>
        </is>
      </c>
      <c r="H128" t="n">
        <v>440</v>
      </c>
      <c r="I128" t="n">
        <v>1500</v>
      </c>
      <c r="J128" t="n">
        <v>0</v>
      </c>
      <c r="K128" t="n">
        <v>1500</v>
      </c>
      <c r="L128" t="n">
        <v>0</v>
      </c>
      <c r="M128" s="3" t="n">
        <v>0</v>
      </c>
      <c r="N128" t="n">
        <v>1060</v>
      </c>
      <c r="O128" s="3" t="n">
        <v>1060000</v>
      </c>
      <c r="P128" t="inlineStr">
        <is>
          <t>Supplier C</t>
        </is>
      </c>
      <c r="Q128" t="n">
        <v>20</v>
      </c>
      <c r="R128" t="n">
        <v>500</v>
      </c>
      <c r="S128" t="n">
        <v>1000</v>
      </c>
      <c r="T128" t="n">
        <v>0</v>
      </c>
      <c r="U128" s="3" t="n">
        <v>0</v>
      </c>
      <c r="V128" s="2" t="n">
        <v>46237</v>
      </c>
      <c r="W128" s="6" t="inlineStr">
        <is>
          <t>Low</t>
        </is>
      </c>
    </row>
    <row r="129">
      <c r="A129" t="inlineStr">
        <is>
          <t>2026-W38</t>
        </is>
      </c>
      <c r="B129" t="inlineStr">
        <is>
          <t>2026-09</t>
        </is>
      </c>
      <c r="C129" s="2" t="n">
        <v>46279</v>
      </c>
      <c r="D129" s="2" t="n">
        <v>46285</v>
      </c>
      <c r="E129" s="2" t="n">
        <v>46295</v>
      </c>
      <c r="F129" t="inlineStr">
        <is>
          <t>MAT-009</t>
        </is>
      </c>
      <c r="G129" t="inlineStr">
        <is>
          <t>Crystal</t>
        </is>
      </c>
      <c r="H129" t="n">
        <v>500</v>
      </c>
      <c r="I129" t="n">
        <v>1500</v>
      </c>
      <c r="J129" t="n">
        <v>0</v>
      </c>
      <c r="K129" t="n">
        <v>1500</v>
      </c>
      <c r="L129" t="n">
        <v>0</v>
      </c>
      <c r="M129" s="3" t="n">
        <v>0</v>
      </c>
      <c r="N129" t="n">
        <v>1000</v>
      </c>
      <c r="O129" s="3" t="n">
        <v>1000000</v>
      </c>
      <c r="P129" t="inlineStr">
        <is>
          <t>Supplier C</t>
        </is>
      </c>
      <c r="Q129" t="n">
        <v>20</v>
      </c>
      <c r="R129" t="n">
        <v>500</v>
      </c>
      <c r="S129" t="n">
        <v>1000</v>
      </c>
      <c r="T129" t="n">
        <v>0</v>
      </c>
      <c r="U129" s="3" t="n">
        <v>0</v>
      </c>
      <c r="V129" s="2" t="n">
        <v>46265</v>
      </c>
      <c r="W129" s="6" t="inlineStr">
        <is>
          <t>Low</t>
        </is>
      </c>
    </row>
    <row r="130">
      <c r="A130" t="inlineStr">
        <is>
          <t>2026-W28</t>
        </is>
      </c>
      <c r="B130" t="inlineStr">
        <is>
          <t>2026-07</t>
        </is>
      </c>
      <c r="C130" s="2" t="n">
        <v>46209</v>
      </c>
      <c r="D130" s="2" t="n">
        <v>46215</v>
      </c>
      <c r="E130" s="2" t="n">
        <v>46234</v>
      </c>
      <c r="F130" t="inlineStr">
        <is>
          <t>MAT-010</t>
        </is>
      </c>
      <c r="G130" t="inlineStr">
        <is>
          <t>SSD Controller</t>
        </is>
      </c>
      <c r="H130" t="n">
        <v>180</v>
      </c>
      <c r="I130" t="n">
        <v>200</v>
      </c>
      <c r="J130" t="n">
        <v>0</v>
      </c>
      <c r="K130" t="n">
        <v>200</v>
      </c>
      <c r="L130" t="n">
        <v>0</v>
      </c>
      <c r="M130" s="3" t="n">
        <v>0</v>
      </c>
      <c r="N130" t="n">
        <v>20</v>
      </c>
      <c r="O130" s="3" t="n">
        <v>360000</v>
      </c>
      <c r="P130" t="inlineStr">
        <is>
          <t>Supplier G</t>
        </is>
      </c>
      <c r="Q130" t="n">
        <v>70</v>
      </c>
      <c r="R130" t="n">
        <v>100</v>
      </c>
      <c r="S130" t="n">
        <v>18000</v>
      </c>
      <c r="T130" t="n">
        <v>0</v>
      </c>
      <c r="U130" s="3" t="n">
        <v>0</v>
      </c>
      <c r="V130" s="2" t="n">
        <v>46145</v>
      </c>
      <c r="W130" s="6" t="inlineStr">
        <is>
          <t>Low</t>
        </is>
      </c>
    </row>
    <row r="131">
      <c r="A131" t="inlineStr">
        <is>
          <t>2026-W29</t>
        </is>
      </c>
      <c r="B131" t="inlineStr">
        <is>
          <t>2026-07</t>
        </is>
      </c>
      <c r="C131" s="2" t="n">
        <v>46216</v>
      </c>
      <c r="D131" s="2" t="n">
        <v>46222</v>
      </c>
      <c r="E131" s="2" t="n">
        <v>46234</v>
      </c>
      <c r="F131" t="inlineStr">
        <is>
          <t>MAT-010</t>
        </is>
      </c>
      <c r="G131" t="inlineStr">
        <is>
          <t>SSD Controller</t>
        </is>
      </c>
      <c r="H131" t="n">
        <v>160</v>
      </c>
      <c r="I131" t="n">
        <v>200</v>
      </c>
      <c r="J131" t="n">
        <v>0</v>
      </c>
      <c r="K131" t="n">
        <v>200</v>
      </c>
      <c r="L131" t="n">
        <v>0</v>
      </c>
      <c r="M131" s="3" t="n">
        <v>0</v>
      </c>
      <c r="N131" t="n">
        <v>40</v>
      </c>
      <c r="O131" s="3" t="n">
        <v>720000</v>
      </c>
      <c r="P131" t="inlineStr">
        <is>
          <t>Supplier G</t>
        </is>
      </c>
      <c r="Q131" t="n">
        <v>70</v>
      </c>
      <c r="R131" t="n">
        <v>100</v>
      </c>
      <c r="S131" t="n">
        <v>18000</v>
      </c>
      <c r="T131" t="n">
        <v>0</v>
      </c>
      <c r="U131" s="3" t="n">
        <v>0</v>
      </c>
      <c r="V131" s="2" t="n">
        <v>46152</v>
      </c>
      <c r="W131" s="6" t="inlineStr">
        <is>
          <t>Low</t>
        </is>
      </c>
    </row>
    <row r="132">
      <c r="A132" t="inlineStr">
        <is>
          <t>2026-W32</t>
        </is>
      </c>
      <c r="B132" t="inlineStr">
        <is>
          <t>2026-08</t>
        </is>
      </c>
      <c r="C132" s="2" t="n">
        <v>46237</v>
      </c>
      <c r="D132" s="2" t="n">
        <v>46243</v>
      </c>
      <c r="E132" s="2" t="n">
        <v>46265</v>
      </c>
      <c r="F132" t="inlineStr">
        <is>
          <t>MAT-010</t>
        </is>
      </c>
      <c r="G132" t="inlineStr">
        <is>
          <t>SSD Controller</t>
        </is>
      </c>
      <c r="H132" t="n">
        <v>260</v>
      </c>
      <c r="I132" t="n">
        <v>200</v>
      </c>
      <c r="J132" t="n">
        <v>100</v>
      </c>
      <c r="K132" t="n">
        <v>300</v>
      </c>
      <c r="L132" t="n">
        <v>0</v>
      </c>
      <c r="M132" s="3" t="n">
        <v>0</v>
      </c>
      <c r="N132" t="n">
        <v>40</v>
      </c>
      <c r="O132" s="3" t="n">
        <v>720000</v>
      </c>
      <c r="P132" t="inlineStr">
        <is>
          <t>Supplier G</t>
        </is>
      </c>
      <c r="Q132" t="n">
        <v>70</v>
      </c>
      <c r="R132" t="n">
        <v>100</v>
      </c>
      <c r="S132" t="n">
        <v>18000</v>
      </c>
      <c r="T132" t="n">
        <v>0</v>
      </c>
      <c r="U132" s="3" t="n">
        <v>0</v>
      </c>
      <c r="V132" s="2" t="n">
        <v>46173</v>
      </c>
      <c r="W132" s="6" t="inlineStr">
        <is>
          <t>Low</t>
        </is>
      </c>
    </row>
    <row r="133">
      <c r="A133" t="inlineStr">
        <is>
          <t>2026-W33</t>
        </is>
      </c>
      <c r="B133" t="inlineStr">
        <is>
          <t>2026-08</t>
        </is>
      </c>
      <c r="C133" s="2" t="n">
        <v>46244</v>
      </c>
      <c r="D133" s="2" t="n">
        <v>46250</v>
      </c>
      <c r="E133" s="2" t="n">
        <v>46265</v>
      </c>
      <c r="F133" t="inlineStr">
        <is>
          <t>MAT-010</t>
        </is>
      </c>
      <c r="G133" t="inlineStr">
        <is>
          <t>SSD Controller</t>
        </is>
      </c>
      <c r="H133" t="n">
        <v>200</v>
      </c>
      <c r="I133" t="n">
        <v>200</v>
      </c>
      <c r="J133" t="n">
        <v>100</v>
      </c>
      <c r="K133" t="n">
        <v>300</v>
      </c>
      <c r="L133" t="n">
        <v>0</v>
      </c>
      <c r="M133" s="3" t="n">
        <v>0</v>
      </c>
      <c r="N133" t="n">
        <v>100</v>
      </c>
      <c r="O133" s="3" t="n">
        <v>1800000</v>
      </c>
      <c r="P133" t="inlineStr">
        <is>
          <t>Supplier G</t>
        </is>
      </c>
      <c r="Q133" t="n">
        <v>70</v>
      </c>
      <c r="R133" t="n">
        <v>100</v>
      </c>
      <c r="S133" t="n">
        <v>18000</v>
      </c>
      <c r="T133" t="n">
        <v>0</v>
      </c>
      <c r="U133" s="3" t="n">
        <v>0</v>
      </c>
      <c r="V133" s="2" t="n">
        <v>46180</v>
      </c>
      <c r="W133" s="6" t="inlineStr">
        <is>
          <t>Low</t>
        </is>
      </c>
    </row>
    <row r="134">
      <c r="A134" t="inlineStr">
        <is>
          <t>2026-W34</t>
        </is>
      </c>
      <c r="B134" t="inlineStr">
        <is>
          <t>2026-08</t>
        </is>
      </c>
      <c r="C134" s="2" t="n">
        <v>46251</v>
      </c>
      <c r="D134" s="2" t="n">
        <v>46257</v>
      </c>
      <c r="E134" s="2" t="n">
        <v>46265</v>
      </c>
      <c r="F134" t="inlineStr">
        <is>
          <t>MAT-010</t>
        </is>
      </c>
      <c r="G134" t="inlineStr">
        <is>
          <t>SSD Controller</t>
        </is>
      </c>
      <c r="H134" t="n">
        <v>280</v>
      </c>
      <c r="I134" t="n">
        <v>200</v>
      </c>
      <c r="J134" t="n">
        <v>100</v>
      </c>
      <c r="K134" t="n">
        <v>300</v>
      </c>
      <c r="L134" t="n">
        <v>0</v>
      </c>
      <c r="M134" s="3" t="n">
        <v>0</v>
      </c>
      <c r="N134" t="n">
        <v>20</v>
      </c>
      <c r="O134" s="3" t="n">
        <v>360000</v>
      </c>
      <c r="P134" t="inlineStr">
        <is>
          <t>Supplier G</t>
        </is>
      </c>
      <c r="Q134" t="n">
        <v>70</v>
      </c>
      <c r="R134" t="n">
        <v>100</v>
      </c>
      <c r="S134" t="n">
        <v>18000</v>
      </c>
      <c r="T134" t="n">
        <v>0</v>
      </c>
      <c r="U134" s="3" t="n">
        <v>0</v>
      </c>
      <c r="V134" s="2" t="n">
        <v>46187</v>
      </c>
      <c r="W134" s="6" t="inlineStr">
        <is>
          <t>Low</t>
        </is>
      </c>
    </row>
    <row r="135">
      <c r="A135" t="inlineStr">
        <is>
          <t>2026-W35</t>
        </is>
      </c>
      <c r="B135" t="inlineStr">
        <is>
          <t>2026-08</t>
        </is>
      </c>
      <c r="C135" s="2" t="n">
        <v>46258</v>
      </c>
      <c r="D135" s="2" t="n">
        <v>46264</v>
      </c>
      <c r="E135" s="2" t="n">
        <v>46265</v>
      </c>
      <c r="F135" t="inlineStr">
        <is>
          <t>MAT-010</t>
        </is>
      </c>
      <c r="G135" t="inlineStr">
        <is>
          <t>SSD Controller</t>
        </is>
      </c>
      <c r="H135" t="n">
        <v>230</v>
      </c>
      <c r="I135" t="n">
        <v>200</v>
      </c>
      <c r="J135" t="n">
        <v>100</v>
      </c>
      <c r="K135" t="n">
        <v>300</v>
      </c>
      <c r="L135" t="n">
        <v>0</v>
      </c>
      <c r="M135" s="3" t="n">
        <v>0</v>
      </c>
      <c r="N135" t="n">
        <v>70</v>
      </c>
      <c r="O135" s="3" t="n">
        <v>1260000</v>
      </c>
      <c r="P135" t="inlineStr">
        <is>
          <t>Supplier G</t>
        </is>
      </c>
      <c r="Q135" t="n">
        <v>70</v>
      </c>
      <c r="R135" t="n">
        <v>100</v>
      </c>
      <c r="S135" t="n">
        <v>18000</v>
      </c>
      <c r="T135" t="n">
        <v>0</v>
      </c>
      <c r="U135" s="3" t="n">
        <v>0</v>
      </c>
      <c r="V135" s="2" t="n">
        <v>46194</v>
      </c>
      <c r="W135" s="6" t="inlineStr">
        <is>
          <t>Low</t>
        </is>
      </c>
    </row>
    <row r="136">
      <c r="A136" t="inlineStr">
        <is>
          <t>2026-W37</t>
        </is>
      </c>
      <c r="B136" t="inlineStr">
        <is>
          <t>2026-09</t>
        </is>
      </c>
      <c r="C136" s="2" t="n">
        <v>46272</v>
      </c>
      <c r="D136" s="2" t="n">
        <v>46278</v>
      </c>
      <c r="E136" s="2" t="n">
        <v>46295</v>
      </c>
      <c r="F136" t="inlineStr">
        <is>
          <t>MAT-010</t>
        </is>
      </c>
      <c r="G136" t="inlineStr">
        <is>
          <t>SSD Controller</t>
        </is>
      </c>
      <c r="H136" t="n">
        <v>250</v>
      </c>
      <c r="I136" t="n">
        <v>200</v>
      </c>
      <c r="J136" t="n">
        <v>100</v>
      </c>
      <c r="K136" t="n">
        <v>300</v>
      </c>
      <c r="L136" t="n">
        <v>0</v>
      </c>
      <c r="M136" s="3" t="n">
        <v>0</v>
      </c>
      <c r="N136" t="n">
        <v>50</v>
      </c>
      <c r="O136" s="3" t="n">
        <v>900000</v>
      </c>
      <c r="P136" t="inlineStr">
        <is>
          <t>Supplier G</t>
        </is>
      </c>
      <c r="Q136" t="n">
        <v>70</v>
      </c>
      <c r="R136" t="n">
        <v>100</v>
      </c>
      <c r="S136" t="n">
        <v>18000</v>
      </c>
      <c r="T136" t="n">
        <v>0</v>
      </c>
      <c r="U136" s="3" t="n">
        <v>0</v>
      </c>
      <c r="V136" s="2" t="n">
        <v>46208</v>
      </c>
      <c r="W136" s="6" t="inlineStr">
        <is>
          <t>Low</t>
        </is>
      </c>
    </row>
    <row r="137">
      <c r="A137" t="inlineStr">
        <is>
          <t>2026-W27</t>
        </is>
      </c>
      <c r="B137" t="inlineStr">
        <is>
          <t>2026-07</t>
        </is>
      </c>
      <c r="C137" s="2" t="n">
        <v>46202</v>
      </c>
      <c r="D137" s="2" t="n">
        <v>46208</v>
      </c>
      <c r="E137" s="2" t="n">
        <v>46234</v>
      </c>
      <c r="F137" t="inlineStr">
        <is>
          <t>MAT-014</t>
        </is>
      </c>
      <c r="G137" t="inlineStr">
        <is>
          <t>Housing</t>
        </is>
      </c>
      <c r="H137" t="n">
        <v>150</v>
      </c>
      <c r="I137" t="n">
        <v>700</v>
      </c>
      <c r="J137" t="n">
        <v>0</v>
      </c>
      <c r="K137" t="n">
        <v>700</v>
      </c>
      <c r="L137" t="n">
        <v>0</v>
      </c>
      <c r="M137" s="3" t="n">
        <v>0</v>
      </c>
      <c r="N137" t="n">
        <v>550</v>
      </c>
      <c r="O137" s="3" t="n">
        <v>1100000</v>
      </c>
      <c r="P137" t="inlineStr">
        <is>
          <t>Supplier J</t>
        </is>
      </c>
      <c r="Q137" t="n">
        <v>20</v>
      </c>
      <c r="R137" t="n">
        <v>100</v>
      </c>
      <c r="S137" t="n">
        <v>2000</v>
      </c>
      <c r="T137" t="n">
        <v>0</v>
      </c>
      <c r="U137" s="3" t="n">
        <v>0</v>
      </c>
      <c r="V137" s="2" t="n">
        <v>46188</v>
      </c>
      <c r="W137" s="6" t="inlineStr">
        <is>
          <t>Low</t>
        </is>
      </c>
    </row>
    <row r="138">
      <c r="A138" t="inlineStr">
        <is>
          <t>2026-W30</t>
        </is>
      </c>
      <c r="B138" t="inlineStr">
        <is>
          <t>2026-07</t>
        </is>
      </c>
      <c r="C138" s="2" t="n">
        <v>46223</v>
      </c>
      <c r="D138" s="2" t="n">
        <v>46229</v>
      </c>
      <c r="E138" s="2" t="n">
        <v>46234</v>
      </c>
      <c r="F138" t="inlineStr">
        <is>
          <t>MAT-014</t>
        </is>
      </c>
      <c r="G138" t="inlineStr">
        <is>
          <t>Housing</t>
        </is>
      </c>
      <c r="H138" t="n">
        <v>180</v>
      </c>
      <c r="I138" t="n">
        <v>700</v>
      </c>
      <c r="J138" t="n">
        <v>0</v>
      </c>
      <c r="K138" t="n">
        <v>700</v>
      </c>
      <c r="L138" t="n">
        <v>0</v>
      </c>
      <c r="M138" s="3" t="n">
        <v>0</v>
      </c>
      <c r="N138" t="n">
        <v>520</v>
      </c>
      <c r="O138" s="3" t="n">
        <v>1040000</v>
      </c>
      <c r="P138" t="inlineStr">
        <is>
          <t>Supplier J</t>
        </is>
      </c>
      <c r="Q138" t="n">
        <v>20</v>
      </c>
      <c r="R138" t="n">
        <v>100</v>
      </c>
      <c r="S138" t="n">
        <v>2000</v>
      </c>
      <c r="T138" t="n">
        <v>0</v>
      </c>
      <c r="U138" s="3" t="n">
        <v>0</v>
      </c>
      <c r="V138" s="2" t="n">
        <v>46209</v>
      </c>
      <c r="W138" s="6" t="inlineStr">
        <is>
          <t>Low</t>
        </is>
      </c>
    </row>
    <row r="139">
      <c r="A139" t="inlineStr">
        <is>
          <t>2026-W32</t>
        </is>
      </c>
      <c r="B139" t="inlineStr">
        <is>
          <t>2026-08</t>
        </is>
      </c>
      <c r="C139" s="2" t="n">
        <v>46237</v>
      </c>
      <c r="D139" s="2" t="n">
        <v>46243</v>
      </c>
      <c r="E139" s="2" t="n">
        <v>46265</v>
      </c>
      <c r="F139" t="inlineStr">
        <is>
          <t>MAT-014</t>
        </is>
      </c>
      <c r="G139" t="inlineStr">
        <is>
          <t>Housing</t>
        </is>
      </c>
      <c r="H139" t="n">
        <v>210</v>
      </c>
      <c r="I139" t="n">
        <v>700</v>
      </c>
      <c r="J139" t="n">
        <v>0</v>
      </c>
      <c r="K139" t="n">
        <v>700</v>
      </c>
      <c r="L139" t="n">
        <v>0</v>
      </c>
      <c r="M139" s="3" t="n">
        <v>0</v>
      </c>
      <c r="N139" t="n">
        <v>490</v>
      </c>
      <c r="O139" s="3" t="n">
        <v>980000</v>
      </c>
      <c r="P139" t="inlineStr">
        <is>
          <t>Supplier J</t>
        </is>
      </c>
      <c r="Q139" t="n">
        <v>20</v>
      </c>
      <c r="R139" t="n">
        <v>100</v>
      </c>
      <c r="S139" t="n">
        <v>2000</v>
      </c>
      <c r="T139" t="n">
        <v>0</v>
      </c>
      <c r="U139" s="3" t="n">
        <v>0</v>
      </c>
      <c r="V139" s="2" t="n">
        <v>46223</v>
      </c>
      <c r="W139" s="6" t="inlineStr">
        <is>
          <t>Low</t>
        </is>
      </c>
    </row>
    <row r="140">
      <c r="A140" t="inlineStr">
        <is>
          <t>2026-W34</t>
        </is>
      </c>
      <c r="B140" t="inlineStr">
        <is>
          <t>2026-08</t>
        </is>
      </c>
      <c r="C140" s="2" t="n">
        <v>46251</v>
      </c>
      <c r="D140" s="2" t="n">
        <v>46257</v>
      </c>
      <c r="E140" s="2" t="n">
        <v>46265</v>
      </c>
      <c r="F140" t="inlineStr">
        <is>
          <t>MAT-014</t>
        </is>
      </c>
      <c r="G140" t="inlineStr">
        <is>
          <t>Housing</t>
        </is>
      </c>
      <c r="H140" t="n">
        <v>220</v>
      </c>
      <c r="I140" t="n">
        <v>700</v>
      </c>
      <c r="J140" t="n">
        <v>0</v>
      </c>
      <c r="K140" t="n">
        <v>700</v>
      </c>
      <c r="L140" t="n">
        <v>0</v>
      </c>
      <c r="M140" s="3" t="n">
        <v>0</v>
      </c>
      <c r="N140" t="n">
        <v>480</v>
      </c>
      <c r="O140" s="3" t="n">
        <v>960000</v>
      </c>
      <c r="P140" t="inlineStr">
        <is>
          <t>Supplier J</t>
        </is>
      </c>
      <c r="Q140" t="n">
        <v>20</v>
      </c>
      <c r="R140" t="n">
        <v>100</v>
      </c>
      <c r="S140" t="n">
        <v>2000</v>
      </c>
      <c r="T140" t="n">
        <v>0</v>
      </c>
      <c r="U140" s="3" t="n">
        <v>0</v>
      </c>
      <c r="V140" s="2" t="n">
        <v>46237</v>
      </c>
      <c r="W140" s="6" t="inlineStr">
        <is>
          <t>Low</t>
        </is>
      </c>
    </row>
    <row r="141">
      <c r="A141" t="inlineStr">
        <is>
          <t>2026-W38</t>
        </is>
      </c>
      <c r="B141" t="inlineStr">
        <is>
          <t>2026-09</t>
        </is>
      </c>
      <c r="C141" s="2" t="n">
        <v>46279</v>
      </c>
      <c r="D141" s="2" t="n">
        <v>46285</v>
      </c>
      <c r="E141" s="2" t="n">
        <v>46295</v>
      </c>
      <c r="F141" t="inlineStr">
        <is>
          <t>MAT-014</t>
        </is>
      </c>
      <c r="G141" t="inlineStr">
        <is>
          <t>Housing</t>
        </is>
      </c>
      <c r="H141" t="n">
        <v>250</v>
      </c>
      <c r="I141" t="n">
        <v>700</v>
      </c>
      <c r="J141" t="n">
        <v>0</v>
      </c>
      <c r="K141" t="n">
        <v>700</v>
      </c>
      <c r="L141" t="n">
        <v>0</v>
      </c>
      <c r="M141" s="3" t="n">
        <v>0</v>
      </c>
      <c r="N141" t="n">
        <v>450</v>
      </c>
      <c r="O141" s="3" t="n">
        <v>900000</v>
      </c>
      <c r="P141" t="inlineStr">
        <is>
          <t>Supplier J</t>
        </is>
      </c>
      <c r="Q141" t="n">
        <v>20</v>
      </c>
      <c r="R141" t="n">
        <v>100</v>
      </c>
      <c r="S141" t="n">
        <v>2000</v>
      </c>
      <c r="T141" t="n">
        <v>0</v>
      </c>
      <c r="U141" s="3" t="n">
        <v>0</v>
      </c>
      <c r="V141" s="2" t="n">
        <v>46265</v>
      </c>
      <c r="W141" s="6" t="inlineStr">
        <is>
          <t>Low</t>
        </is>
      </c>
    </row>
    <row r="142">
      <c r="A142" t="inlineStr">
        <is>
          <t>2026-W28</t>
        </is>
      </c>
      <c r="B142" t="inlineStr">
        <is>
          <t>2026-07</t>
        </is>
      </c>
      <c r="C142" s="2" t="n">
        <v>46209</v>
      </c>
      <c r="D142" s="2" t="n">
        <v>46215</v>
      </c>
      <c r="E142" s="2" t="n">
        <v>46234</v>
      </c>
      <c r="F142" t="inlineStr">
        <is>
          <t>MAT-015</t>
        </is>
      </c>
      <c r="G142" t="inlineStr">
        <is>
          <t>Screw</t>
        </is>
      </c>
      <c r="H142" t="n">
        <v>1080</v>
      </c>
      <c r="I142" t="n">
        <v>3000</v>
      </c>
      <c r="J142" t="n">
        <v>0</v>
      </c>
      <c r="K142" t="n">
        <v>3000</v>
      </c>
      <c r="L142" t="n">
        <v>0</v>
      </c>
      <c r="M142" s="3" t="n">
        <v>0</v>
      </c>
      <c r="N142" t="n">
        <v>1920</v>
      </c>
      <c r="O142" s="3" t="n">
        <v>192000</v>
      </c>
      <c r="P142" t="inlineStr">
        <is>
          <t>Supplier K</t>
        </is>
      </c>
      <c r="Q142" t="n">
        <v>15</v>
      </c>
      <c r="R142" t="n">
        <v>1000</v>
      </c>
      <c r="S142" t="n">
        <v>100</v>
      </c>
      <c r="T142" t="n">
        <v>0</v>
      </c>
      <c r="U142" s="3" t="n">
        <v>0</v>
      </c>
      <c r="V142" s="2" t="n">
        <v>46200</v>
      </c>
      <c r="W142" s="6" t="inlineStr">
        <is>
          <t>Low</t>
        </is>
      </c>
    </row>
    <row r="143">
      <c r="A143" t="inlineStr">
        <is>
          <t>2026-W30</t>
        </is>
      </c>
      <c r="B143" t="inlineStr">
        <is>
          <t>2026-07</t>
        </is>
      </c>
      <c r="C143" s="2" t="n">
        <v>46223</v>
      </c>
      <c r="D143" s="2" t="n">
        <v>46229</v>
      </c>
      <c r="E143" s="2" t="n">
        <v>46234</v>
      </c>
      <c r="F143" t="inlineStr">
        <is>
          <t>MAT-015</t>
        </is>
      </c>
      <c r="G143" t="inlineStr">
        <is>
          <t>Screw</t>
        </is>
      </c>
      <c r="H143" t="n">
        <v>1320</v>
      </c>
      <c r="I143" t="n">
        <v>3000</v>
      </c>
      <c r="J143" t="n">
        <v>0</v>
      </c>
      <c r="K143" t="n">
        <v>3000</v>
      </c>
      <c r="L143" t="n">
        <v>0</v>
      </c>
      <c r="M143" s="3" t="n">
        <v>0</v>
      </c>
      <c r="N143" t="n">
        <v>1680</v>
      </c>
      <c r="O143" s="3" t="n">
        <v>168000</v>
      </c>
      <c r="P143" t="inlineStr">
        <is>
          <t>Supplier K</t>
        </is>
      </c>
      <c r="Q143" t="n">
        <v>15</v>
      </c>
      <c r="R143" t="n">
        <v>1000</v>
      </c>
      <c r="S143" t="n">
        <v>100</v>
      </c>
      <c r="T143" t="n">
        <v>0</v>
      </c>
      <c r="U143" s="3" t="n">
        <v>0</v>
      </c>
      <c r="V143" s="2" t="n">
        <v>46214</v>
      </c>
      <c r="W143" s="6" t="inlineStr">
        <is>
          <t>Low</t>
        </is>
      </c>
    </row>
    <row r="144">
      <c r="A144" t="inlineStr">
        <is>
          <t>2026-W32</t>
        </is>
      </c>
      <c r="B144" t="inlineStr">
        <is>
          <t>2026-08</t>
        </is>
      </c>
      <c r="C144" s="2" t="n">
        <v>46237</v>
      </c>
      <c r="D144" s="2" t="n">
        <v>46243</v>
      </c>
      <c r="E144" s="2" t="n">
        <v>46265</v>
      </c>
      <c r="F144" t="inlineStr">
        <is>
          <t>MAT-015</t>
        </is>
      </c>
      <c r="G144" t="inlineStr">
        <is>
          <t>Screw</t>
        </is>
      </c>
      <c r="H144" t="n">
        <v>1560</v>
      </c>
      <c r="I144" t="n">
        <v>3000</v>
      </c>
      <c r="J144" t="n">
        <v>0</v>
      </c>
      <c r="K144" t="n">
        <v>3000</v>
      </c>
      <c r="L144" t="n">
        <v>0</v>
      </c>
      <c r="M144" s="3" t="n">
        <v>0</v>
      </c>
      <c r="N144" t="n">
        <v>1440</v>
      </c>
      <c r="O144" s="3" t="n">
        <v>144000</v>
      </c>
      <c r="P144" t="inlineStr">
        <is>
          <t>Supplier K</t>
        </is>
      </c>
      <c r="Q144" t="n">
        <v>15</v>
      </c>
      <c r="R144" t="n">
        <v>1000</v>
      </c>
      <c r="S144" t="n">
        <v>100</v>
      </c>
      <c r="T144" t="n">
        <v>0</v>
      </c>
      <c r="U144" s="3" t="n">
        <v>0</v>
      </c>
      <c r="V144" s="2" t="n">
        <v>46228</v>
      </c>
      <c r="W144" s="6" t="inlineStr">
        <is>
          <t>Low</t>
        </is>
      </c>
    </row>
    <row r="145">
      <c r="A145" t="inlineStr">
        <is>
          <t>2026-W34</t>
        </is>
      </c>
      <c r="B145" t="inlineStr">
        <is>
          <t>2026-08</t>
        </is>
      </c>
      <c r="C145" s="2" t="n">
        <v>46251</v>
      </c>
      <c r="D145" s="2" t="n">
        <v>46257</v>
      </c>
      <c r="E145" s="2" t="n">
        <v>46265</v>
      </c>
      <c r="F145" t="inlineStr">
        <is>
          <t>MAT-015</t>
        </is>
      </c>
      <c r="G145" t="inlineStr">
        <is>
          <t>Screw</t>
        </is>
      </c>
      <c r="H145" t="n">
        <v>1680</v>
      </c>
      <c r="I145" t="n">
        <v>3000</v>
      </c>
      <c r="J145" t="n">
        <v>0</v>
      </c>
      <c r="K145" t="n">
        <v>3000</v>
      </c>
      <c r="L145" t="n">
        <v>0</v>
      </c>
      <c r="M145" s="3" t="n">
        <v>0</v>
      </c>
      <c r="N145" t="n">
        <v>1320</v>
      </c>
      <c r="O145" s="3" t="n">
        <v>132000</v>
      </c>
      <c r="P145" t="inlineStr">
        <is>
          <t>Supplier K</t>
        </is>
      </c>
      <c r="Q145" t="n">
        <v>15</v>
      </c>
      <c r="R145" t="n">
        <v>1000</v>
      </c>
      <c r="S145" t="n">
        <v>100</v>
      </c>
      <c r="T145" t="n">
        <v>0</v>
      </c>
      <c r="U145" s="3" t="n">
        <v>0</v>
      </c>
      <c r="V145" s="2" t="n">
        <v>46242</v>
      </c>
      <c r="W145" s="6" t="inlineStr">
        <is>
          <t>Low</t>
        </is>
      </c>
    </row>
    <row r="146">
      <c r="A146" t="inlineStr">
        <is>
          <t>2026-W36</t>
        </is>
      </c>
      <c r="B146" t="inlineStr">
        <is>
          <t>2026-09</t>
        </is>
      </c>
      <c r="C146" s="2" t="n">
        <v>46265</v>
      </c>
      <c r="D146" s="2" t="n">
        <v>46271</v>
      </c>
      <c r="E146" s="2" t="n">
        <v>46295</v>
      </c>
      <c r="F146" t="inlineStr">
        <is>
          <t>MAT-015</t>
        </is>
      </c>
      <c r="G146" t="inlineStr">
        <is>
          <t>Screw</t>
        </is>
      </c>
      <c r="H146" t="n">
        <v>1800</v>
      </c>
      <c r="I146" t="n">
        <v>3000</v>
      </c>
      <c r="J146" t="n">
        <v>0</v>
      </c>
      <c r="K146" t="n">
        <v>3000</v>
      </c>
      <c r="L146" t="n">
        <v>0</v>
      </c>
      <c r="M146" s="3" t="n">
        <v>0</v>
      </c>
      <c r="N146" t="n">
        <v>1200</v>
      </c>
      <c r="O146" s="3" t="n">
        <v>120000</v>
      </c>
      <c r="P146" t="inlineStr">
        <is>
          <t>Supplier K</t>
        </is>
      </c>
      <c r="Q146" t="n">
        <v>15</v>
      </c>
      <c r="R146" t="n">
        <v>1000</v>
      </c>
      <c r="S146" t="n">
        <v>100</v>
      </c>
      <c r="T146" t="n">
        <v>0</v>
      </c>
      <c r="U146" s="3" t="n">
        <v>0</v>
      </c>
      <c r="V146" s="2" t="n">
        <v>46256</v>
      </c>
      <c r="W146" s="6" t="inlineStr">
        <is>
          <t>Low</t>
        </is>
      </c>
    </row>
    <row r="147">
      <c r="A147" t="inlineStr">
        <is>
          <t>2026-W38</t>
        </is>
      </c>
      <c r="B147" t="inlineStr">
        <is>
          <t>2026-09</t>
        </is>
      </c>
      <c r="C147" s="2" t="n">
        <v>46279</v>
      </c>
      <c r="D147" s="2" t="n">
        <v>46285</v>
      </c>
      <c r="E147" s="2" t="n">
        <v>46295</v>
      </c>
      <c r="F147" t="inlineStr">
        <is>
          <t>MAT-015</t>
        </is>
      </c>
      <c r="G147" t="inlineStr">
        <is>
          <t>Screw</t>
        </is>
      </c>
      <c r="H147" t="n">
        <v>1920</v>
      </c>
      <c r="I147" t="n">
        <v>3000</v>
      </c>
      <c r="J147" t="n">
        <v>0</v>
      </c>
      <c r="K147" t="n">
        <v>3000</v>
      </c>
      <c r="L147" t="n">
        <v>0</v>
      </c>
      <c r="M147" s="3" t="n">
        <v>0</v>
      </c>
      <c r="N147" t="n">
        <v>1080</v>
      </c>
      <c r="O147" s="3" t="n">
        <v>108000</v>
      </c>
      <c r="P147" t="inlineStr">
        <is>
          <t>Supplier K</t>
        </is>
      </c>
      <c r="Q147" t="n">
        <v>15</v>
      </c>
      <c r="R147" t="n">
        <v>1000</v>
      </c>
      <c r="S147" t="n">
        <v>100</v>
      </c>
      <c r="T147" t="n">
        <v>0</v>
      </c>
      <c r="U147" s="3" t="n">
        <v>0</v>
      </c>
      <c r="V147" s="2" t="n">
        <v>46270</v>
      </c>
      <c r="W147" s="6" t="inlineStr">
        <is>
          <t>Low</t>
        </is>
      </c>
    </row>
    <row r="148">
      <c r="A148" t="inlineStr">
        <is>
          <t>2026-W28</t>
        </is>
      </c>
      <c r="B148" t="inlineStr">
        <is>
          <t>2026-07</t>
        </is>
      </c>
      <c r="C148" s="2" t="n">
        <v>46209</v>
      </c>
      <c r="D148" s="2" t="n">
        <v>46215</v>
      </c>
      <c r="E148" s="2" t="n">
        <v>46234</v>
      </c>
      <c r="F148" t="inlineStr">
        <is>
          <t>MAT-019</t>
        </is>
      </c>
      <c r="G148" t="inlineStr">
        <is>
          <t>Antenna</t>
        </is>
      </c>
      <c r="H148" t="n">
        <v>200</v>
      </c>
      <c r="I148" t="n">
        <v>400</v>
      </c>
      <c r="J148" t="n">
        <v>0</v>
      </c>
      <c r="K148" t="n">
        <v>400</v>
      </c>
      <c r="L148" t="n">
        <v>0</v>
      </c>
      <c r="M148" s="3" t="n">
        <v>0</v>
      </c>
      <c r="N148" t="n">
        <v>200</v>
      </c>
      <c r="O148" s="3" t="n">
        <v>240000</v>
      </c>
      <c r="P148" t="inlineStr">
        <is>
          <t>Supplier O</t>
        </is>
      </c>
      <c r="Q148" t="n">
        <v>30</v>
      </c>
      <c r="R148" t="n">
        <v>100</v>
      </c>
      <c r="S148" t="n">
        <v>1200</v>
      </c>
      <c r="T148" t="n">
        <v>0</v>
      </c>
      <c r="U148" s="3" t="n">
        <v>0</v>
      </c>
      <c r="V148" s="2" t="n">
        <v>46185</v>
      </c>
      <c r="W148" s="6" t="inlineStr">
        <is>
          <t>Low</t>
        </is>
      </c>
    </row>
    <row r="149">
      <c r="A149" t="inlineStr">
        <is>
          <t>2026-W31</t>
        </is>
      </c>
      <c r="B149" t="inlineStr">
        <is>
          <t>2026-08</t>
        </is>
      </c>
      <c r="C149" s="2" t="n">
        <v>46230</v>
      </c>
      <c r="D149" s="2" t="n">
        <v>46236</v>
      </c>
      <c r="E149" s="2" t="n">
        <v>46265</v>
      </c>
      <c r="F149" t="inlineStr">
        <is>
          <t>MAT-019</t>
        </is>
      </c>
      <c r="G149" t="inlineStr">
        <is>
          <t>Antenna</t>
        </is>
      </c>
      <c r="H149" t="n">
        <v>260</v>
      </c>
      <c r="I149" t="n">
        <v>400</v>
      </c>
      <c r="J149" t="n">
        <v>0</v>
      </c>
      <c r="K149" t="n">
        <v>400</v>
      </c>
      <c r="L149" t="n">
        <v>0</v>
      </c>
      <c r="M149" s="3" t="n">
        <v>0</v>
      </c>
      <c r="N149" t="n">
        <v>140</v>
      </c>
      <c r="O149" s="3" t="n">
        <v>168000</v>
      </c>
      <c r="P149" t="inlineStr">
        <is>
          <t>Supplier O</t>
        </is>
      </c>
      <c r="Q149" t="n">
        <v>30</v>
      </c>
      <c r="R149" t="n">
        <v>100</v>
      </c>
      <c r="S149" t="n">
        <v>1200</v>
      </c>
      <c r="T149" t="n">
        <v>0</v>
      </c>
      <c r="U149" s="3" t="n">
        <v>0</v>
      </c>
      <c r="V149" s="2" t="n">
        <v>46206</v>
      </c>
      <c r="W149" s="6" t="inlineStr">
        <is>
          <t>Low</t>
        </is>
      </c>
    </row>
    <row r="150">
      <c r="A150" t="inlineStr">
        <is>
          <t>2026-W34</t>
        </is>
      </c>
      <c r="B150" t="inlineStr">
        <is>
          <t>2026-08</t>
        </is>
      </c>
      <c r="C150" s="2" t="n">
        <v>46251</v>
      </c>
      <c r="D150" s="2" t="n">
        <v>46257</v>
      </c>
      <c r="E150" s="2" t="n">
        <v>46265</v>
      </c>
      <c r="F150" t="inlineStr">
        <is>
          <t>MAT-019</t>
        </is>
      </c>
      <c r="G150" t="inlineStr">
        <is>
          <t>Antenna</t>
        </is>
      </c>
      <c r="H150" t="n">
        <v>300</v>
      </c>
      <c r="I150" t="n">
        <v>400</v>
      </c>
      <c r="J150" t="n">
        <v>0</v>
      </c>
      <c r="K150" t="n">
        <v>400</v>
      </c>
      <c r="L150" t="n">
        <v>0</v>
      </c>
      <c r="M150" s="3" t="n">
        <v>0</v>
      </c>
      <c r="N150" t="n">
        <v>100</v>
      </c>
      <c r="O150" s="3" t="n">
        <v>120000</v>
      </c>
      <c r="P150" t="inlineStr">
        <is>
          <t>Supplier O</t>
        </is>
      </c>
      <c r="Q150" t="n">
        <v>30</v>
      </c>
      <c r="R150" t="n">
        <v>100</v>
      </c>
      <c r="S150" t="n">
        <v>1200</v>
      </c>
      <c r="T150" t="n">
        <v>0</v>
      </c>
      <c r="U150" s="3" t="n">
        <v>0</v>
      </c>
      <c r="V150" s="2" t="n">
        <v>46227</v>
      </c>
      <c r="W150" s="6" t="inlineStr">
        <is>
          <t>Low</t>
        </is>
      </c>
    </row>
    <row r="151">
      <c r="A151" t="inlineStr">
        <is>
          <t>2026-W36</t>
        </is>
      </c>
      <c r="B151" t="inlineStr">
        <is>
          <t>2026-09</t>
        </is>
      </c>
      <c r="C151" s="2" t="n">
        <v>46265</v>
      </c>
      <c r="D151" s="2" t="n">
        <v>46271</v>
      </c>
      <c r="E151" s="2" t="n">
        <v>46295</v>
      </c>
      <c r="F151" t="inlineStr">
        <is>
          <t>MAT-019</t>
        </is>
      </c>
      <c r="G151" t="inlineStr">
        <is>
          <t>Antenna</t>
        </is>
      </c>
      <c r="H151" t="n">
        <v>340</v>
      </c>
      <c r="I151" t="n">
        <v>400</v>
      </c>
      <c r="J151" t="n">
        <v>0</v>
      </c>
      <c r="K151" t="n">
        <v>400</v>
      </c>
      <c r="L151" t="n">
        <v>0</v>
      </c>
      <c r="M151" s="3" t="n">
        <v>0</v>
      </c>
      <c r="N151" t="n">
        <v>60</v>
      </c>
      <c r="O151" s="3" t="n">
        <v>72000</v>
      </c>
      <c r="P151" t="inlineStr">
        <is>
          <t>Supplier O</t>
        </is>
      </c>
      <c r="Q151" t="n">
        <v>30</v>
      </c>
      <c r="R151" t="n">
        <v>100</v>
      </c>
      <c r="S151" t="n">
        <v>1200</v>
      </c>
      <c r="T151" t="n">
        <v>0</v>
      </c>
      <c r="U151" s="3" t="n">
        <v>0</v>
      </c>
      <c r="V151" s="2" t="n">
        <v>46241</v>
      </c>
      <c r="W151" s="6" t="inlineStr">
        <is>
          <t>Low</t>
        </is>
      </c>
    </row>
    <row r="152">
      <c r="A152" t="inlineStr">
        <is>
          <t>2026-W38</t>
        </is>
      </c>
      <c r="B152" t="inlineStr">
        <is>
          <t>2026-09</t>
        </is>
      </c>
      <c r="C152" s="2" t="n">
        <v>46279</v>
      </c>
      <c r="D152" s="2" t="n">
        <v>46285</v>
      </c>
      <c r="E152" s="2" t="n">
        <v>46295</v>
      </c>
      <c r="F152" t="inlineStr">
        <is>
          <t>MAT-019</t>
        </is>
      </c>
      <c r="G152" t="inlineStr">
        <is>
          <t>Antenna</t>
        </is>
      </c>
      <c r="H152" t="n">
        <v>380</v>
      </c>
      <c r="I152" t="n">
        <v>400</v>
      </c>
      <c r="J152" t="n">
        <v>0</v>
      </c>
      <c r="K152" t="n">
        <v>400</v>
      </c>
      <c r="L152" t="n">
        <v>0</v>
      </c>
      <c r="M152" s="3" t="n">
        <v>0</v>
      </c>
      <c r="N152" t="n">
        <v>20</v>
      </c>
      <c r="O152" s="3" t="n">
        <v>24000</v>
      </c>
      <c r="P152" t="inlineStr">
        <is>
          <t>Supplier O</t>
        </is>
      </c>
      <c r="Q152" t="n">
        <v>30</v>
      </c>
      <c r="R152" t="n">
        <v>100</v>
      </c>
      <c r="S152" t="n">
        <v>1200</v>
      </c>
      <c r="T152" t="n">
        <v>0</v>
      </c>
      <c r="U152" s="3" t="n">
        <v>0</v>
      </c>
      <c r="V152" s="2" t="n">
        <v>46255</v>
      </c>
      <c r="W152" s="6" t="inlineStr">
        <is>
          <t>Low</t>
        </is>
      </c>
    </row>
    <row r="153">
      <c r="A153" t="inlineStr">
        <is>
          <t>2026-W33</t>
        </is>
      </c>
      <c r="B153" t="inlineStr">
        <is>
          <t>2026-08</t>
        </is>
      </c>
      <c r="C153" s="2" t="n">
        <v>46244</v>
      </c>
      <c r="D153" s="2" t="n">
        <v>46250</v>
      </c>
      <c r="E153" s="2" t="n">
        <v>46265</v>
      </c>
      <c r="F153" t="inlineStr">
        <is>
          <t>MAT-001</t>
        </is>
      </c>
      <c r="G153" t="inlineStr">
        <is>
          <t>PCB Main Board</t>
        </is>
      </c>
      <c r="H153" t="n">
        <v>1100</v>
      </c>
      <c r="I153" t="n">
        <v>800</v>
      </c>
      <c r="J153" t="n">
        <v>300</v>
      </c>
      <c r="K153" t="n">
        <v>1100</v>
      </c>
      <c r="L153" t="n">
        <v>0</v>
      </c>
      <c r="M153" s="3" t="n">
        <v>0</v>
      </c>
      <c r="N153" t="n">
        <v>0</v>
      </c>
      <c r="O153" s="3" t="n">
        <v>0</v>
      </c>
      <c r="P153" t="inlineStr">
        <is>
          <t>Supplier A</t>
        </is>
      </c>
      <c r="Q153" t="n">
        <v>30</v>
      </c>
      <c r="R153" t="n">
        <v>100</v>
      </c>
      <c r="S153" t="n">
        <v>5000</v>
      </c>
      <c r="T153" t="n">
        <v>0</v>
      </c>
      <c r="U153" s="3" t="n">
        <v>0</v>
      </c>
      <c r="V153" s="2" t="n">
        <v>46220</v>
      </c>
      <c r="W153" s="7" t="inlineStr">
        <is>
          <t>Normal</t>
        </is>
      </c>
    </row>
    <row r="154">
      <c r="A154" t="inlineStr">
        <is>
          <t>2026-W34</t>
        </is>
      </c>
      <c r="B154" t="inlineStr">
        <is>
          <t>2026-08</t>
        </is>
      </c>
      <c r="C154" s="2" t="n">
        <v>46251</v>
      </c>
      <c r="D154" s="2" t="n">
        <v>46257</v>
      </c>
      <c r="E154" s="2" t="n">
        <v>46265</v>
      </c>
      <c r="F154" t="inlineStr">
        <is>
          <t>MAT-007</t>
        </is>
      </c>
      <c r="G154" t="inlineStr">
        <is>
          <t>Sensor IC</t>
        </is>
      </c>
      <c r="H154" t="n">
        <v>300</v>
      </c>
      <c r="I154" t="n">
        <v>100</v>
      </c>
      <c r="J154" t="n">
        <v>200</v>
      </c>
      <c r="K154" t="n">
        <v>300</v>
      </c>
      <c r="L154" t="n">
        <v>0</v>
      </c>
      <c r="M154" s="3" t="n">
        <v>0</v>
      </c>
      <c r="N154" t="n">
        <v>0</v>
      </c>
      <c r="O154" s="3" t="n">
        <v>0</v>
      </c>
      <c r="P154" t="inlineStr">
        <is>
          <t>Supplier F</t>
        </is>
      </c>
      <c r="Q154" t="n">
        <v>55</v>
      </c>
      <c r="R154" t="n">
        <v>100</v>
      </c>
      <c r="S154" t="n">
        <v>7000</v>
      </c>
      <c r="T154" t="n">
        <v>0</v>
      </c>
      <c r="U154" s="3" t="n">
        <v>0</v>
      </c>
      <c r="V154" s="2" t="n">
        <v>46202</v>
      </c>
      <c r="W154" s="7" t="inlineStr">
        <is>
          <t>Normal</t>
        </is>
      </c>
    </row>
    <row r="155">
      <c r="A155" t="inlineStr">
        <is>
          <t>2026-W37</t>
        </is>
      </c>
      <c r="B155" t="inlineStr">
        <is>
          <t>2026-09</t>
        </is>
      </c>
      <c r="C155" s="2" t="n">
        <v>46272</v>
      </c>
      <c r="D155" s="2" t="n">
        <v>46278</v>
      </c>
      <c r="E155" s="2" t="n">
        <v>46295</v>
      </c>
      <c r="F155" t="inlineStr">
        <is>
          <t>MAT-007</t>
        </is>
      </c>
      <c r="G155" t="inlineStr">
        <is>
          <t>Sensor IC</t>
        </is>
      </c>
      <c r="H155" t="n">
        <v>300</v>
      </c>
      <c r="I155" t="n">
        <v>100</v>
      </c>
      <c r="J155" t="n">
        <v>200</v>
      </c>
      <c r="K155" t="n">
        <v>300</v>
      </c>
      <c r="L155" t="n">
        <v>0</v>
      </c>
      <c r="M155" s="3" t="n">
        <v>0</v>
      </c>
      <c r="N155" t="n">
        <v>0</v>
      </c>
      <c r="O155" s="3" t="n">
        <v>0</v>
      </c>
      <c r="P155" t="inlineStr">
        <is>
          <t>Supplier F</t>
        </is>
      </c>
      <c r="Q155" t="n">
        <v>55</v>
      </c>
      <c r="R155" t="n">
        <v>100</v>
      </c>
      <c r="S155" t="n">
        <v>7000</v>
      </c>
      <c r="T155" t="n">
        <v>0</v>
      </c>
      <c r="U155" s="3" t="n">
        <v>0</v>
      </c>
      <c r="V155" s="2" t="n">
        <v>46223</v>
      </c>
      <c r="W155" s="7" t="inlineStr">
        <is>
          <t>Normal</t>
        </is>
      </c>
    </row>
    <row r="156">
      <c r="A156" t="inlineStr">
        <is>
          <t>2026-W36</t>
        </is>
      </c>
      <c r="B156" t="inlineStr">
        <is>
          <t>2026-09</t>
        </is>
      </c>
      <c r="C156" s="2" t="n">
        <v>46265</v>
      </c>
      <c r="D156" s="2" t="n">
        <v>46271</v>
      </c>
      <c r="E156" s="2" t="n">
        <v>46295</v>
      </c>
      <c r="F156" t="inlineStr">
        <is>
          <t>MAT-010</t>
        </is>
      </c>
      <c r="G156" t="inlineStr">
        <is>
          <t>SSD Controller</t>
        </is>
      </c>
      <c r="H156" t="n">
        <v>300</v>
      </c>
      <c r="I156" t="n">
        <v>200</v>
      </c>
      <c r="J156" t="n">
        <v>100</v>
      </c>
      <c r="K156" t="n">
        <v>300</v>
      </c>
      <c r="L156" t="n">
        <v>0</v>
      </c>
      <c r="M156" s="3" t="n">
        <v>0</v>
      </c>
      <c r="N156" t="n">
        <v>0</v>
      </c>
      <c r="O156" s="3" t="n">
        <v>0</v>
      </c>
      <c r="P156" t="inlineStr">
        <is>
          <t>Supplier G</t>
        </is>
      </c>
      <c r="Q156" t="n">
        <v>70</v>
      </c>
      <c r="R156" t="n">
        <v>100</v>
      </c>
      <c r="S156" t="n">
        <v>18000</v>
      </c>
      <c r="T156" t="n">
        <v>0</v>
      </c>
      <c r="U156" s="3" t="n">
        <v>0</v>
      </c>
      <c r="V156" s="2" t="n">
        <v>46201</v>
      </c>
      <c r="W156" s="7" t="inlineStr">
        <is>
          <t>Normal</t>
        </is>
      </c>
    </row>
    <row r="157">
      <c r="A157" t="inlineStr">
        <is>
          <t>2026-W27</t>
        </is>
      </c>
      <c r="B157" t="inlineStr">
        <is>
          <t>2026-07</t>
        </is>
      </c>
      <c r="C157" s="2" t="n">
        <v>46202</v>
      </c>
      <c r="D157" s="2" t="n">
        <v>46208</v>
      </c>
      <c r="E157" s="2" t="n">
        <v>46234</v>
      </c>
      <c r="F157" t="inlineStr">
        <is>
          <t>MAT-011</t>
        </is>
      </c>
      <c r="G157" t="inlineStr">
        <is>
          <t>Connector</t>
        </is>
      </c>
      <c r="H157" t="n">
        <v>900</v>
      </c>
      <c r="I157" t="n">
        <v>900</v>
      </c>
      <c r="J157" t="n">
        <v>0</v>
      </c>
      <c r="K157" t="n">
        <v>900</v>
      </c>
      <c r="L157" t="n">
        <v>0</v>
      </c>
      <c r="M157" s="3" t="n">
        <v>0</v>
      </c>
      <c r="N157" t="n">
        <v>0</v>
      </c>
      <c r="O157" s="3" t="n">
        <v>0</v>
      </c>
      <c r="P157" t="inlineStr">
        <is>
          <t>Supplier A</t>
        </is>
      </c>
      <c r="Q157" t="n">
        <v>30</v>
      </c>
      <c r="R157" t="n">
        <v>200</v>
      </c>
      <c r="S157" t="n">
        <v>1500</v>
      </c>
      <c r="T157" t="n">
        <v>0</v>
      </c>
      <c r="U157" s="3" t="n">
        <v>0</v>
      </c>
      <c r="V157" s="2" t="n">
        <v>46178</v>
      </c>
      <c r="W157" s="7" t="inlineStr">
        <is>
          <t>Normal</t>
        </is>
      </c>
    </row>
    <row r="158">
      <c r="A158" t="inlineStr">
        <is>
          <t>2026-W31</t>
        </is>
      </c>
      <c r="B158" t="inlineStr">
        <is>
          <t>2026-08</t>
        </is>
      </c>
      <c r="C158" s="2" t="n">
        <v>46230</v>
      </c>
      <c r="D158" s="2" t="n">
        <v>46236</v>
      </c>
      <c r="E158" s="2" t="n">
        <v>46265</v>
      </c>
      <c r="F158" t="inlineStr">
        <is>
          <t>MAT-018</t>
        </is>
      </c>
      <c r="G158" t="inlineStr">
        <is>
          <t>RF Module</t>
        </is>
      </c>
      <c r="H158" t="n">
        <v>130</v>
      </c>
      <c r="I158" t="n">
        <v>80</v>
      </c>
      <c r="J158" t="n">
        <v>50</v>
      </c>
      <c r="K158" t="n">
        <v>130</v>
      </c>
      <c r="L158" t="n">
        <v>0</v>
      </c>
      <c r="M158" s="3" t="n">
        <v>0</v>
      </c>
      <c r="N158" t="n">
        <v>0</v>
      </c>
      <c r="O158" s="3" t="n">
        <v>0</v>
      </c>
      <c r="P158" t="inlineStr">
        <is>
          <t>Supplier N</t>
        </is>
      </c>
      <c r="Q158" t="n">
        <v>65</v>
      </c>
      <c r="R158" t="n">
        <v>50</v>
      </c>
      <c r="S158" t="n">
        <v>20000</v>
      </c>
      <c r="T158" t="n">
        <v>0</v>
      </c>
      <c r="U158" s="3" t="n">
        <v>0</v>
      </c>
      <c r="V158" s="2" t="n">
        <v>46171</v>
      </c>
      <c r="W158" s="7" t="inlineStr">
        <is>
          <t>Normal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20" customWidth="1" min="4" max="4"/>
    <col width="23" customWidth="1" min="5" max="5"/>
    <col width="18" customWidth="1" min="6" max="6"/>
    <col width="21" customWidth="1" min="7" max="7"/>
    <col width="29" customWidth="1" min="8" max="8"/>
    <col width="32" customWidth="1" min="9" max="9"/>
  </cols>
  <sheetData>
    <row r="1">
      <c r="A1" s="1" t="inlineStr">
        <is>
          <t>risk_level</t>
        </is>
      </c>
      <c r="B1" s="1" t="inlineStr">
        <is>
          <t>material_count</t>
        </is>
      </c>
      <c r="C1" s="1" t="inlineStr">
        <is>
          <t>total_required_qty</t>
        </is>
      </c>
      <c r="D1" s="1" t="inlineStr">
        <is>
          <t>total_shortage_qty</t>
        </is>
      </c>
      <c r="E1" s="1" t="inlineStr">
        <is>
          <t>total_shortage_amount</t>
        </is>
      </c>
      <c r="F1" s="1" t="inlineStr">
        <is>
          <t>total_excess_qty</t>
        </is>
      </c>
      <c r="G1" s="1" t="inlineStr">
        <is>
          <t>total_excess_amount</t>
        </is>
      </c>
      <c r="H1" s="1" t="inlineStr">
        <is>
          <t>total_recommended_order_qty</t>
        </is>
      </c>
      <c r="I1" s="1" t="inlineStr">
        <is>
          <t>total_recommended_order_amount</t>
        </is>
      </c>
    </row>
    <row r="2">
      <c r="A2" s="4" t="inlineStr">
        <is>
          <t>High</t>
        </is>
      </c>
      <c r="B2" t="n">
        <v>9</v>
      </c>
      <c r="C2" t="n">
        <v>39820</v>
      </c>
      <c r="D2" t="n">
        <v>17200</v>
      </c>
      <c r="E2" s="3" t="n">
        <v>140230000</v>
      </c>
      <c r="F2" t="n">
        <v>0</v>
      </c>
      <c r="G2" s="3" t="n">
        <v>0</v>
      </c>
      <c r="H2" t="n">
        <v>20450</v>
      </c>
      <c r="I2" s="3" t="n">
        <v>169600000</v>
      </c>
    </row>
    <row r="3">
      <c r="A3" s="5" t="inlineStr">
        <is>
          <t>Medium</t>
        </is>
      </c>
      <c r="B3" t="n">
        <v>5</v>
      </c>
      <c r="C3" t="n">
        <v>28070</v>
      </c>
      <c r="D3" t="n">
        <v>14270</v>
      </c>
      <c r="E3" s="3" t="n">
        <v>30910000</v>
      </c>
      <c r="F3" t="n">
        <v>0</v>
      </c>
      <c r="G3" s="3" t="n">
        <v>0</v>
      </c>
      <c r="H3" t="n">
        <v>16900</v>
      </c>
      <c r="I3" s="3" t="n">
        <v>38900000</v>
      </c>
    </row>
    <row r="4">
      <c r="A4" s="6" t="inlineStr">
        <is>
          <t>Low</t>
        </is>
      </c>
      <c r="B4" t="n">
        <v>13</v>
      </c>
      <c r="C4" t="n">
        <v>35900</v>
      </c>
      <c r="D4" t="n">
        <v>0</v>
      </c>
      <c r="E4" s="3" t="n">
        <v>0</v>
      </c>
      <c r="F4" t="n">
        <v>35200</v>
      </c>
      <c r="G4" s="3" t="n">
        <v>110588000</v>
      </c>
      <c r="H4" t="n">
        <v>0</v>
      </c>
      <c r="I4" s="3" t="n">
        <v>0</v>
      </c>
    </row>
    <row r="5">
      <c r="A5" s="7" t="inlineStr">
        <is>
          <t>Normal</t>
        </is>
      </c>
      <c r="B5" t="n">
        <v>5</v>
      </c>
      <c r="C5" t="n">
        <v>3030</v>
      </c>
      <c r="D5" t="n">
        <v>0</v>
      </c>
      <c r="E5" s="3" t="n">
        <v>0</v>
      </c>
      <c r="F5" t="n">
        <v>0</v>
      </c>
      <c r="G5" s="3" t="n">
        <v>0</v>
      </c>
      <c r="H5" t="n">
        <v>0</v>
      </c>
      <c r="I5" s="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7" customWidth="1" min="3" max="3"/>
    <col width="19" customWidth="1" min="4" max="4"/>
    <col width="20" customWidth="1" min="5" max="5"/>
    <col width="23" customWidth="1" min="6" max="6"/>
    <col width="18" customWidth="1" min="7" max="7"/>
    <col width="21" customWidth="1" min="8" max="8"/>
    <col width="29" customWidth="1" min="9" max="9"/>
    <col width="32" customWidth="1" min="10" max="10"/>
  </cols>
  <sheetData>
    <row r="1">
      <c r="A1" s="1" t="inlineStr">
        <is>
          <t>supplier</t>
        </is>
      </c>
      <c r="B1" s="1" t="inlineStr">
        <is>
          <t>material_count</t>
        </is>
      </c>
      <c r="C1" s="1" t="inlineStr">
        <is>
          <t>high_risk_count</t>
        </is>
      </c>
      <c r="D1" s="1" t="inlineStr">
        <is>
          <t>medium_risk_count</t>
        </is>
      </c>
      <c r="E1" s="1" t="inlineStr">
        <is>
          <t>total_shortage_qty</t>
        </is>
      </c>
      <c r="F1" s="1" t="inlineStr">
        <is>
          <t>total_shortage_amount</t>
        </is>
      </c>
      <c r="G1" s="1" t="inlineStr">
        <is>
          <t>total_excess_qty</t>
        </is>
      </c>
      <c r="H1" s="1" t="inlineStr">
        <is>
          <t>total_excess_amount</t>
        </is>
      </c>
      <c r="I1" s="1" t="inlineStr">
        <is>
          <t>total_recommended_order_qty</t>
        </is>
      </c>
      <c r="J1" s="1" t="inlineStr">
        <is>
          <t>total_recommended_order_amount</t>
        </is>
      </c>
    </row>
    <row r="2">
      <c r="A2" t="inlineStr">
        <is>
          <t>Supplier B</t>
        </is>
      </c>
      <c r="B2" t="n">
        <v>2</v>
      </c>
      <c r="C2" t="n">
        <v>1</v>
      </c>
      <c r="D2" t="n">
        <v>0</v>
      </c>
      <c r="E2" t="n">
        <v>10390</v>
      </c>
      <c r="F2" s="3" t="n">
        <v>83120000</v>
      </c>
      <c r="G2" t="n">
        <v>3350</v>
      </c>
      <c r="H2" s="3" t="n">
        <v>22820000</v>
      </c>
      <c r="I2" t="n">
        <v>11200</v>
      </c>
      <c r="J2" s="3" t="n">
        <v>89600000</v>
      </c>
    </row>
    <row r="3">
      <c r="A3" t="inlineStr">
        <is>
          <t>Supplier D</t>
        </is>
      </c>
      <c r="B3" t="n">
        <v>1</v>
      </c>
      <c r="C3" t="n">
        <v>1</v>
      </c>
      <c r="D3" t="n">
        <v>0</v>
      </c>
      <c r="E3" t="n">
        <v>2060</v>
      </c>
      <c r="F3" s="3" t="n">
        <v>24720000</v>
      </c>
      <c r="G3" t="n">
        <v>520</v>
      </c>
      <c r="H3" s="3" t="n">
        <v>6240000</v>
      </c>
      <c r="I3" t="n">
        <v>2800</v>
      </c>
      <c r="J3" s="3" t="n">
        <v>33600000</v>
      </c>
    </row>
    <row r="4">
      <c r="A4" t="inlineStr">
        <is>
          <t>Supplier A</t>
        </is>
      </c>
      <c r="B4" t="n">
        <v>3</v>
      </c>
      <c r="C4" t="n">
        <v>1</v>
      </c>
      <c r="D4" t="n">
        <v>2</v>
      </c>
      <c r="E4" t="n">
        <v>6900</v>
      </c>
      <c r="F4" s="3" t="n">
        <v>16650000</v>
      </c>
      <c r="G4" t="n">
        <v>4880</v>
      </c>
      <c r="H4" s="3" t="n">
        <v>22920000</v>
      </c>
      <c r="I4" t="n">
        <v>8700</v>
      </c>
      <c r="J4" s="3" t="n">
        <v>21900000</v>
      </c>
    </row>
    <row r="5">
      <c r="A5" t="inlineStr">
        <is>
          <t>Supplier E</t>
        </is>
      </c>
      <c r="B5" t="n">
        <v>1</v>
      </c>
      <c r="C5" t="n">
        <v>0</v>
      </c>
      <c r="D5" t="n">
        <v>1</v>
      </c>
      <c r="E5" t="n">
        <v>900</v>
      </c>
      <c r="F5" s="3" t="n">
        <v>13500000</v>
      </c>
      <c r="G5" t="n">
        <v>1020</v>
      </c>
      <c r="H5" s="3" t="n">
        <v>15300000</v>
      </c>
      <c r="I5" t="n">
        <v>1200</v>
      </c>
      <c r="J5" s="3" t="n">
        <v>18000000</v>
      </c>
    </row>
    <row r="6">
      <c r="A6" t="inlineStr">
        <is>
          <t>Supplier L</t>
        </is>
      </c>
      <c r="B6" t="n">
        <v>1</v>
      </c>
      <c r="C6" t="n">
        <v>1</v>
      </c>
      <c r="D6" t="n">
        <v>0</v>
      </c>
      <c r="E6" t="n">
        <v>380</v>
      </c>
      <c r="F6" s="3" t="n">
        <v>9500000</v>
      </c>
      <c r="G6" t="n">
        <v>0</v>
      </c>
      <c r="H6" s="3" t="n">
        <v>0</v>
      </c>
      <c r="I6" t="n">
        <v>500</v>
      </c>
      <c r="J6" s="3" t="n">
        <v>12500000</v>
      </c>
    </row>
    <row r="7">
      <c r="A7" t="inlineStr">
        <is>
          <t>Supplier H</t>
        </is>
      </c>
      <c r="B7" t="n">
        <v>1</v>
      </c>
      <c r="C7" t="n">
        <v>0</v>
      </c>
      <c r="D7" t="n">
        <v>1</v>
      </c>
      <c r="E7" t="n">
        <v>7400</v>
      </c>
      <c r="F7" s="3" t="n">
        <v>5920000</v>
      </c>
      <c r="G7" t="n">
        <v>0</v>
      </c>
      <c r="H7" s="3" t="n">
        <v>0</v>
      </c>
      <c r="I7" t="n">
        <v>8500</v>
      </c>
      <c r="J7" s="3" t="n">
        <v>6800000</v>
      </c>
    </row>
    <row r="8">
      <c r="A8" t="inlineStr">
        <is>
          <t>Supplier I</t>
        </is>
      </c>
      <c r="B8" t="n">
        <v>1</v>
      </c>
      <c r="C8" t="n">
        <v>1</v>
      </c>
      <c r="D8" t="n">
        <v>0</v>
      </c>
      <c r="E8" t="n">
        <v>1500</v>
      </c>
      <c r="F8" s="3" t="n">
        <v>5250000</v>
      </c>
      <c r="G8" t="n">
        <v>0</v>
      </c>
      <c r="H8" s="3" t="n">
        <v>0</v>
      </c>
      <c r="I8" t="n">
        <v>1800</v>
      </c>
      <c r="J8" s="3" t="n">
        <v>6300000</v>
      </c>
    </row>
    <row r="9">
      <c r="A9" t="inlineStr">
        <is>
          <t>Supplier P</t>
        </is>
      </c>
      <c r="B9" t="n">
        <v>1</v>
      </c>
      <c r="C9" t="n">
        <v>1</v>
      </c>
      <c r="D9" t="n">
        <v>0</v>
      </c>
      <c r="E9" t="n">
        <v>480</v>
      </c>
      <c r="F9" s="3" t="n">
        <v>4320000</v>
      </c>
      <c r="G9" t="n">
        <v>0</v>
      </c>
      <c r="H9" s="3" t="n">
        <v>0</v>
      </c>
      <c r="I9" t="n">
        <v>600</v>
      </c>
      <c r="J9" s="3" t="n">
        <v>5400000</v>
      </c>
    </row>
    <row r="10">
      <c r="A10" t="inlineStr">
        <is>
          <t>Supplier N</t>
        </is>
      </c>
      <c r="B10" t="n">
        <v>1</v>
      </c>
      <c r="C10" t="n">
        <v>1</v>
      </c>
      <c r="D10" t="n">
        <v>0</v>
      </c>
      <c r="E10" t="n">
        <v>140</v>
      </c>
      <c r="F10" s="3" t="n">
        <v>2800000</v>
      </c>
      <c r="G10" t="n">
        <v>0</v>
      </c>
      <c r="H10" s="3" t="n">
        <v>0</v>
      </c>
      <c r="I10" t="n">
        <v>250</v>
      </c>
      <c r="J10" s="3" t="n">
        <v>5000000</v>
      </c>
    </row>
    <row r="11">
      <c r="A11" t="inlineStr">
        <is>
          <t>Supplier M</t>
        </is>
      </c>
      <c r="B11" t="n">
        <v>1</v>
      </c>
      <c r="C11" t="n">
        <v>0</v>
      </c>
      <c r="D11" t="n">
        <v>1</v>
      </c>
      <c r="E11" t="n">
        <v>960</v>
      </c>
      <c r="F11" s="3" t="n">
        <v>2400000</v>
      </c>
      <c r="G11" t="n">
        <v>0</v>
      </c>
      <c r="H11" s="3" t="n">
        <v>0</v>
      </c>
      <c r="I11" t="n">
        <v>1200</v>
      </c>
      <c r="J11" s="3" t="n">
        <v>3000000</v>
      </c>
    </row>
    <row r="12">
      <c r="A12" t="inlineStr">
        <is>
          <t>Supplier F</t>
        </is>
      </c>
      <c r="B12" t="n">
        <v>1</v>
      </c>
      <c r="C12" t="n">
        <v>1</v>
      </c>
      <c r="D12" t="n">
        <v>0</v>
      </c>
      <c r="E12" t="n">
        <v>320</v>
      </c>
      <c r="F12" s="3" t="n">
        <v>2240000</v>
      </c>
      <c r="G12" t="n">
        <v>340</v>
      </c>
      <c r="H12" s="3" t="n">
        <v>2380000</v>
      </c>
      <c r="I12" t="n">
        <v>400</v>
      </c>
      <c r="J12" s="3" t="n">
        <v>2800000</v>
      </c>
    </row>
    <row r="13">
      <c r="A13" t="inlineStr">
        <is>
          <t>Supplier G</t>
        </is>
      </c>
      <c r="B13" t="n">
        <v>1</v>
      </c>
      <c r="C13" t="n">
        <v>1</v>
      </c>
      <c r="D13" t="n">
        <v>0</v>
      </c>
      <c r="E13" t="n">
        <v>40</v>
      </c>
      <c r="F13" s="3" t="n">
        <v>720000</v>
      </c>
      <c r="G13" t="n">
        <v>340</v>
      </c>
      <c r="H13" s="3" t="n">
        <v>6120000</v>
      </c>
      <c r="I13" t="n">
        <v>200</v>
      </c>
      <c r="J13" s="3" t="n">
        <v>3600000</v>
      </c>
    </row>
    <row r="14">
      <c r="A14" t="inlineStr">
        <is>
          <t>Supplier C</t>
        </is>
      </c>
      <c r="B14" t="n">
        <v>2</v>
      </c>
      <c r="C14" t="n">
        <v>0</v>
      </c>
      <c r="D14" t="n">
        <v>0</v>
      </c>
      <c r="E14" t="n">
        <v>0</v>
      </c>
      <c r="F14" s="3" t="n">
        <v>0</v>
      </c>
      <c r="G14" t="n">
        <v>13100</v>
      </c>
      <c r="H14" s="3" t="n">
        <v>28340000</v>
      </c>
      <c r="I14" t="n">
        <v>0</v>
      </c>
      <c r="J14" s="3" t="n">
        <v>0</v>
      </c>
    </row>
    <row r="15">
      <c r="A15" t="inlineStr">
        <is>
          <t>Supplier J</t>
        </is>
      </c>
      <c r="B15" t="n">
        <v>1</v>
      </c>
      <c r="C15" t="n">
        <v>0</v>
      </c>
      <c r="D15" t="n">
        <v>0</v>
      </c>
      <c r="E15" t="n">
        <v>0</v>
      </c>
      <c r="F15" s="3" t="n">
        <v>0</v>
      </c>
      <c r="G15" t="n">
        <v>2490</v>
      </c>
      <c r="H15" s="3" t="n">
        <v>4980000</v>
      </c>
      <c r="I15" t="n">
        <v>0</v>
      </c>
      <c r="J15" s="3" t="n">
        <v>0</v>
      </c>
    </row>
    <row r="16">
      <c r="A16" t="inlineStr">
        <is>
          <t>Supplier K</t>
        </is>
      </c>
      <c r="B16" t="n">
        <v>1</v>
      </c>
      <c r="C16" t="n">
        <v>0</v>
      </c>
      <c r="D16" t="n">
        <v>0</v>
      </c>
      <c r="E16" t="n">
        <v>0</v>
      </c>
      <c r="F16" s="3" t="n">
        <v>0</v>
      </c>
      <c r="G16" t="n">
        <v>8640</v>
      </c>
      <c r="H16" s="3" t="n">
        <v>864000</v>
      </c>
      <c r="I16" t="n">
        <v>0</v>
      </c>
      <c r="J16" s="3" t="n">
        <v>0</v>
      </c>
    </row>
    <row r="17">
      <c r="A17" t="inlineStr">
        <is>
          <t>Supplier O</t>
        </is>
      </c>
      <c r="B17" t="n">
        <v>1</v>
      </c>
      <c r="C17" t="n">
        <v>0</v>
      </c>
      <c r="D17" t="n">
        <v>0</v>
      </c>
      <c r="E17" t="n">
        <v>0</v>
      </c>
      <c r="F17" s="3" t="n">
        <v>0</v>
      </c>
      <c r="G17" t="n">
        <v>520</v>
      </c>
      <c r="H17" s="3" t="n">
        <v>624000</v>
      </c>
      <c r="I17" t="n">
        <v>0</v>
      </c>
      <c r="J17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16" customWidth="1" min="3" max="3"/>
    <col width="15" customWidth="1" min="4" max="4"/>
    <col width="15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8" t="inlineStr">
        <is>
          <t>material_code</t>
        </is>
      </c>
      <c r="B1" s="8" t="inlineStr">
        <is>
          <t>material_name</t>
        </is>
      </c>
      <c r="C1" s="8" t="inlineStr">
        <is>
          <t>supplier</t>
        </is>
      </c>
      <c r="D1" s="8" t="inlineStr">
        <is>
          <t>lead_time_days</t>
        </is>
      </c>
      <c r="E1" s="8" t="inlineStr">
        <is>
          <t>current_stock</t>
        </is>
      </c>
      <c r="F1" s="8" t="inlineStr">
        <is>
          <t>구분</t>
        </is>
      </c>
      <c r="G1" s="8" t="inlineStr">
        <is>
          <t>W27</t>
        </is>
      </c>
      <c r="H1" s="8" t="inlineStr">
        <is>
          <t>W28</t>
        </is>
      </c>
      <c r="I1" s="8" t="inlineStr">
        <is>
          <t>W29</t>
        </is>
      </c>
      <c r="J1" s="8" t="inlineStr">
        <is>
          <t>W30</t>
        </is>
      </c>
      <c r="K1" s="8" t="inlineStr">
        <is>
          <t>W31</t>
        </is>
      </c>
      <c r="L1" s="8" t="inlineStr">
        <is>
          <t>W32</t>
        </is>
      </c>
      <c r="M1" s="8" t="inlineStr">
        <is>
          <t>W33</t>
        </is>
      </c>
      <c r="N1" s="8" t="inlineStr">
        <is>
          <t>W34</t>
        </is>
      </c>
      <c r="O1" s="8" t="inlineStr">
        <is>
          <t>W35</t>
        </is>
      </c>
      <c r="P1" s="8" t="inlineStr">
        <is>
          <t>W36</t>
        </is>
      </c>
      <c r="Q1" s="8" t="inlineStr">
        <is>
          <t>W37</t>
        </is>
      </c>
      <c r="R1" s="8" t="inlineStr">
        <is>
          <t>W38</t>
        </is>
      </c>
    </row>
    <row r="2">
      <c r="A2" t="inlineStr">
        <is>
          <t>MAT-001</t>
        </is>
      </c>
      <c r="B2" t="inlineStr">
        <is>
          <t>PCB Main Board</t>
        </is>
      </c>
      <c r="C2" t="inlineStr">
        <is>
          <t>Supplier A</t>
        </is>
      </c>
      <c r="D2" s="3" t="n">
        <v>30</v>
      </c>
      <c r="E2" s="3" t="n">
        <v>800</v>
      </c>
      <c r="F2" s="9" t="inlineStr">
        <is>
          <t>생산계획</t>
        </is>
      </c>
      <c r="G2" s="3" t="n">
        <v>850</v>
      </c>
      <c r="H2" s="3" t="n">
        <v>920</v>
      </c>
      <c r="I2" s="3" t="n">
        <v>1000</v>
      </c>
      <c r="J2" s="3" t="n">
        <v>150</v>
      </c>
      <c r="K2" s="3" t="n">
        <v>1040</v>
      </c>
      <c r="L2" s="3" t="n">
        <v>1020</v>
      </c>
      <c r="M2" s="3" t="n">
        <v>1100</v>
      </c>
      <c r="N2" s="3" t="n">
        <v>190</v>
      </c>
      <c r="O2" s="3" t="n">
        <v>1240</v>
      </c>
      <c r="P2" s="3" t="n">
        <v>1150</v>
      </c>
      <c r="Q2" s="3" t="n">
        <v>1360</v>
      </c>
      <c r="R2" s="3" t="n">
        <v>230</v>
      </c>
    </row>
    <row r="3">
      <c r="A3" t="inlineStr">
        <is>
          <t>MAT-001</t>
        </is>
      </c>
      <c r="B3" t="inlineStr">
        <is>
          <t>PCB Main Board</t>
        </is>
      </c>
      <c r="C3" t="inlineStr">
        <is>
          <t>Supplier A</t>
        </is>
      </c>
      <c r="D3" s="3" t="n">
        <v>30</v>
      </c>
      <c r="E3" s="3" t="n">
        <v>800</v>
      </c>
      <c r="F3" s="10" t="inlineStr">
        <is>
          <t>입고계획</t>
        </is>
      </c>
      <c r="G3" s="3" t="n">
        <v>300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</row>
    <row r="4">
      <c r="A4" s="11" t="inlineStr">
        <is>
          <t>MAT-001</t>
        </is>
      </c>
      <c r="B4" s="11" t="inlineStr">
        <is>
          <t>PCB Main Board</t>
        </is>
      </c>
      <c r="C4" s="11" t="inlineStr">
        <is>
          <t>Supplier A</t>
        </is>
      </c>
      <c r="D4" s="12" t="n">
        <v>30</v>
      </c>
      <c r="E4" s="12" t="n">
        <v>800</v>
      </c>
      <c r="F4" s="13" t="inlineStr">
        <is>
          <t>과부족 계산</t>
        </is>
      </c>
      <c r="G4" s="12">
        <f>G2-$E2-G3</f>
        <v/>
      </c>
      <c r="H4" s="12">
        <f>G4+H2-H3</f>
        <v/>
      </c>
      <c r="I4" s="12">
        <f>H4+I2-I3</f>
        <v/>
      </c>
      <c r="J4" s="12">
        <f>I4+J2-J3</f>
        <v/>
      </c>
      <c r="K4" s="12">
        <f>J4+K2-K3</f>
        <v/>
      </c>
      <c r="L4" s="12">
        <f>K4+L2-L3</f>
        <v/>
      </c>
      <c r="M4" s="12">
        <f>L4+M2-M3</f>
        <v/>
      </c>
      <c r="N4" s="12">
        <f>M4+N2-N3</f>
        <v/>
      </c>
      <c r="O4" s="12">
        <f>N4+O2-O3</f>
        <v/>
      </c>
      <c r="P4" s="12">
        <f>O4+P2-P3</f>
        <v/>
      </c>
      <c r="Q4" s="12">
        <f>P4+Q2-Q3</f>
        <v/>
      </c>
      <c r="R4" s="12">
        <f>Q4+R2-R3</f>
        <v/>
      </c>
    </row>
    <row r="5">
      <c r="A5" t="inlineStr">
        <is>
          <t>MAT-002</t>
        </is>
      </c>
      <c r="B5" t="inlineStr">
        <is>
          <t>DRAM Chip</t>
        </is>
      </c>
      <c r="C5" t="inlineStr">
        <is>
          <t>Supplier B</t>
        </is>
      </c>
      <c r="D5" s="3" t="n">
        <v>45</v>
      </c>
      <c r="E5" s="3" t="n">
        <v>500</v>
      </c>
      <c r="F5" s="9" t="inlineStr">
        <is>
          <t>생산계획</t>
        </is>
      </c>
      <c r="G5" s="3" t="n">
        <v>1600</v>
      </c>
      <c r="H5" s="3" t="n">
        <v>1700</v>
      </c>
      <c r="I5" s="3" t="n">
        <v>1840</v>
      </c>
      <c r="J5" s="3" t="n">
        <v>0</v>
      </c>
      <c r="K5" s="3" t="n">
        <v>2130</v>
      </c>
      <c r="L5" s="3" t="n">
        <v>1680</v>
      </c>
      <c r="M5" s="3" t="n">
        <v>2080</v>
      </c>
      <c r="N5" s="3" t="n">
        <v>150</v>
      </c>
      <c r="O5" s="3" t="n">
        <v>2360</v>
      </c>
      <c r="P5" s="3" t="n">
        <v>2050</v>
      </c>
      <c r="Q5" s="3" t="n">
        <v>2600</v>
      </c>
      <c r="R5" s="3" t="n">
        <v>190</v>
      </c>
    </row>
    <row r="6">
      <c r="A6" t="inlineStr">
        <is>
          <t>MAT-002</t>
        </is>
      </c>
      <c r="B6" t="inlineStr">
        <is>
          <t>DRAM Chip</t>
        </is>
      </c>
      <c r="C6" t="inlineStr">
        <is>
          <t>Supplier B</t>
        </is>
      </c>
      <c r="D6" s="3" t="n">
        <v>45</v>
      </c>
      <c r="E6" s="3" t="n">
        <v>500</v>
      </c>
      <c r="F6" s="10" t="inlineStr">
        <is>
          <t>입고계획</t>
        </is>
      </c>
      <c r="G6" s="3" t="n">
        <v>0</v>
      </c>
      <c r="H6" s="3" t="n">
        <v>200</v>
      </c>
      <c r="I6" s="3" t="n">
        <v>0</v>
      </c>
      <c r="J6" s="3" t="n">
        <v>150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</row>
    <row r="7">
      <c r="A7" s="11" t="inlineStr">
        <is>
          <t>MAT-002</t>
        </is>
      </c>
      <c r="B7" s="11" t="inlineStr">
        <is>
          <t>DRAM Chip</t>
        </is>
      </c>
      <c r="C7" s="11" t="inlineStr">
        <is>
          <t>Supplier B</t>
        </is>
      </c>
      <c r="D7" s="12" t="n">
        <v>45</v>
      </c>
      <c r="E7" s="12" t="n">
        <v>500</v>
      </c>
      <c r="F7" s="13" t="inlineStr">
        <is>
          <t>과부족 계산</t>
        </is>
      </c>
      <c r="G7" s="12">
        <f>G5-$E5-G6</f>
        <v/>
      </c>
      <c r="H7" s="12">
        <f>G7+H5-H6</f>
        <v/>
      </c>
      <c r="I7" s="12">
        <f>H7+I5-I6</f>
        <v/>
      </c>
      <c r="J7" s="12">
        <f>I7+J5-J6</f>
        <v/>
      </c>
      <c r="K7" s="12">
        <f>J7+K5-K6</f>
        <v/>
      </c>
      <c r="L7" s="12">
        <f>K7+L5-L6</f>
        <v/>
      </c>
      <c r="M7" s="12">
        <f>L7+M5-M6</f>
        <v/>
      </c>
      <c r="N7" s="12">
        <f>M7+N5-N6</f>
        <v/>
      </c>
      <c r="O7" s="12">
        <f>N7+O5-O6</f>
        <v/>
      </c>
      <c r="P7" s="12">
        <f>O7+P5-P6</f>
        <v/>
      </c>
      <c r="Q7" s="12">
        <f>P7+Q5-Q6</f>
        <v/>
      </c>
      <c r="R7" s="12">
        <f>Q7+R5-R6</f>
        <v/>
      </c>
    </row>
    <row r="8">
      <c r="A8" t="inlineStr">
        <is>
          <t>MAT-003</t>
        </is>
      </c>
      <c r="B8" t="inlineStr">
        <is>
          <t>Power IC</t>
        </is>
      </c>
      <c r="C8" t="inlineStr">
        <is>
          <t>Supplier C</t>
        </is>
      </c>
      <c r="D8" s="3" t="n">
        <v>25</v>
      </c>
      <c r="E8" s="3" t="n">
        <v>1200</v>
      </c>
      <c r="F8" s="9" t="inlineStr">
        <is>
          <t>생산계획</t>
        </is>
      </c>
      <c r="G8" s="3" t="n">
        <v>300</v>
      </c>
      <c r="H8" s="3" t="n">
        <v>760</v>
      </c>
      <c r="I8" s="3" t="n">
        <v>350</v>
      </c>
      <c r="J8" s="3" t="n">
        <v>440</v>
      </c>
      <c r="K8" s="3" t="n">
        <v>380</v>
      </c>
      <c r="L8" s="3" t="n">
        <v>940</v>
      </c>
      <c r="M8" s="3" t="n">
        <v>390</v>
      </c>
      <c r="N8" s="3" t="n">
        <v>560</v>
      </c>
      <c r="O8" s="3" t="n">
        <v>450</v>
      </c>
      <c r="P8" s="3" t="n">
        <v>1070</v>
      </c>
      <c r="Q8" s="3" t="n">
        <v>500</v>
      </c>
      <c r="R8" s="3" t="n">
        <v>640</v>
      </c>
    </row>
    <row r="9">
      <c r="A9" t="inlineStr">
        <is>
          <t>MAT-003</t>
        </is>
      </c>
      <c r="B9" t="inlineStr">
        <is>
          <t>Power IC</t>
        </is>
      </c>
      <c r="C9" t="inlineStr">
        <is>
          <t>Supplier C</t>
        </is>
      </c>
      <c r="D9" s="3" t="n">
        <v>25</v>
      </c>
      <c r="E9" s="3" t="n">
        <v>1200</v>
      </c>
      <c r="F9" s="10" t="inlineStr">
        <is>
          <t>입고계획</t>
        </is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</row>
    <row r="10">
      <c r="A10" s="11" t="inlineStr">
        <is>
          <t>MAT-003</t>
        </is>
      </c>
      <c r="B10" s="11" t="inlineStr">
        <is>
          <t>Power IC</t>
        </is>
      </c>
      <c r="C10" s="11" t="inlineStr">
        <is>
          <t>Supplier C</t>
        </is>
      </c>
      <c r="D10" s="12" t="n">
        <v>25</v>
      </c>
      <c r="E10" s="12" t="n">
        <v>1200</v>
      </c>
      <c r="F10" s="13" t="inlineStr">
        <is>
          <t>과부족 계산</t>
        </is>
      </c>
      <c r="G10" s="12">
        <f>G8-$E8-G9</f>
        <v/>
      </c>
      <c r="H10" s="12">
        <f>G10+H8-H9</f>
        <v/>
      </c>
      <c r="I10" s="12">
        <f>H10+I8-I9</f>
        <v/>
      </c>
      <c r="J10" s="12">
        <f>I10+J8-J9</f>
        <v/>
      </c>
      <c r="K10" s="12">
        <f>J10+K8-K9</f>
        <v/>
      </c>
      <c r="L10" s="12">
        <f>K10+L8-L9</f>
        <v/>
      </c>
      <c r="M10" s="12">
        <f>L10+M8-M9</f>
        <v/>
      </c>
      <c r="N10" s="12">
        <f>M10+N8-N9</f>
        <v/>
      </c>
      <c r="O10" s="12">
        <f>N10+O8-O9</f>
        <v/>
      </c>
      <c r="P10" s="12">
        <f>O10+P8-P9</f>
        <v/>
      </c>
      <c r="Q10" s="12">
        <f>P10+Q8-Q9</f>
        <v/>
      </c>
      <c r="R10" s="12">
        <f>Q10+R8-R9</f>
        <v/>
      </c>
    </row>
    <row r="11">
      <c r="A11" t="inlineStr">
        <is>
          <t>MAT-004</t>
        </is>
      </c>
      <c r="B11" t="inlineStr">
        <is>
          <t>PKG Substrate</t>
        </is>
      </c>
      <c r="C11" t="inlineStr">
        <is>
          <t>Supplier A</t>
        </is>
      </c>
      <c r="D11" s="3" t="n">
        <v>60</v>
      </c>
      <c r="E11" s="3" t="n">
        <v>300</v>
      </c>
      <c r="F11" s="9" t="inlineStr">
        <is>
          <t>생산계획</t>
        </is>
      </c>
      <c r="G11" s="3" t="n">
        <v>1050</v>
      </c>
      <c r="H11" s="3" t="n">
        <v>0</v>
      </c>
      <c r="I11" s="3" t="n">
        <v>1060</v>
      </c>
      <c r="J11" s="3" t="n">
        <v>360</v>
      </c>
      <c r="K11" s="3" t="n">
        <v>840</v>
      </c>
      <c r="L11" s="3" t="n">
        <v>420</v>
      </c>
      <c r="M11" s="3" t="n">
        <v>1160</v>
      </c>
      <c r="N11" s="3" t="n">
        <v>440</v>
      </c>
      <c r="O11" s="3" t="n">
        <v>1250</v>
      </c>
      <c r="P11" s="3" t="n">
        <v>0</v>
      </c>
      <c r="Q11" s="3" t="n">
        <v>1330</v>
      </c>
      <c r="R11" s="3" t="n">
        <v>500</v>
      </c>
    </row>
    <row r="12">
      <c r="A12" t="inlineStr">
        <is>
          <t>MAT-004</t>
        </is>
      </c>
      <c r="B12" t="inlineStr">
        <is>
          <t>PKG Substrate</t>
        </is>
      </c>
      <c r="C12" t="inlineStr">
        <is>
          <t>Supplier A</t>
        </is>
      </c>
      <c r="D12" s="3" t="n">
        <v>60</v>
      </c>
      <c r="E12" s="3" t="n">
        <v>300</v>
      </c>
      <c r="F12" s="10" t="inlineStr">
        <is>
          <t>입고계획</t>
        </is>
      </c>
      <c r="G12" s="3" t="n">
        <v>0</v>
      </c>
      <c r="H12" s="3" t="n">
        <v>0</v>
      </c>
      <c r="I12" s="3" t="n">
        <v>500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</row>
    <row r="13">
      <c r="A13" s="11" t="inlineStr">
        <is>
          <t>MAT-004</t>
        </is>
      </c>
      <c r="B13" s="11" t="inlineStr">
        <is>
          <t>PKG Substrate</t>
        </is>
      </c>
      <c r="C13" s="11" t="inlineStr">
        <is>
          <t>Supplier A</t>
        </is>
      </c>
      <c r="D13" s="12" t="n">
        <v>60</v>
      </c>
      <c r="E13" s="12" t="n">
        <v>300</v>
      </c>
      <c r="F13" s="13" t="inlineStr">
        <is>
          <t>과부족 계산</t>
        </is>
      </c>
      <c r="G13" s="12">
        <f>G11-$E11-G12</f>
        <v/>
      </c>
      <c r="H13" s="12">
        <f>G13+H11-H12</f>
        <v/>
      </c>
      <c r="I13" s="12">
        <f>H13+I11-I12</f>
        <v/>
      </c>
      <c r="J13" s="12">
        <f>I13+J11-J12</f>
        <v/>
      </c>
      <c r="K13" s="12">
        <f>J13+K11-K12</f>
        <v/>
      </c>
      <c r="L13" s="12">
        <f>K13+L11-L12</f>
        <v/>
      </c>
      <c r="M13" s="12">
        <f>L13+M11-M12</f>
        <v/>
      </c>
      <c r="N13" s="12">
        <f>M13+N11-N12</f>
        <v/>
      </c>
      <c r="O13" s="12">
        <f>N13+O11-O12</f>
        <v/>
      </c>
      <c r="P13" s="12">
        <f>O13+P11-P12</f>
        <v/>
      </c>
      <c r="Q13" s="12">
        <f>P13+Q11-Q12</f>
        <v/>
      </c>
      <c r="R13" s="12">
        <f>Q13+R11-R12</f>
        <v/>
      </c>
    </row>
    <row r="14">
      <c r="A14" t="inlineStr">
        <is>
          <t>MAT-005</t>
        </is>
      </c>
      <c r="B14" t="inlineStr">
        <is>
          <t>NAND Flash</t>
        </is>
      </c>
      <c r="C14" t="inlineStr">
        <is>
          <t>Supplier D</t>
        </is>
      </c>
      <c r="D14" s="3" t="n">
        <v>50</v>
      </c>
      <c r="E14" s="3" t="n">
        <v>400</v>
      </c>
      <c r="F14" s="9" t="inlineStr">
        <is>
          <t>생산계획</t>
        </is>
      </c>
      <c r="G14" s="3" t="n">
        <v>500</v>
      </c>
      <c r="H14" s="3" t="n">
        <v>720</v>
      </c>
      <c r="I14" s="3" t="n">
        <v>600</v>
      </c>
      <c r="J14" s="3" t="n">
        <v>880</v>
      </c>
      <c r="K14" s="3" t="n">
        <v>560</v>
      </c>
      <c r="L14" s="3" t="n">
        <v>1040</v>
      </c>
      <c r="M14" s="3" t="n">
        <v>640</v>
      </c>
      <c r="N14" s="3" t="n">
        <v>1120</v>
      </c>
      <c r="O14" s="3" t="n">
        <v>680</v>
      </c>
      <c r="P14" s="3" t="n">
        <v>1200</v>
      </c>
      <c r="Q14" s="3" t="n">
        <v>720</v>
      </c>
      <c r="R14" s="3" t="n">
        <v>1280</v>
      </c>
    </row>
    <row r="15">
      <c r="A15" t="inlineStr">
        <is>
          <t>MAT-005</t>
        </is>
      </c>
      <c r="B15" t="inlineStr">
        <is>
          <t>NAND Flash</t>
        </is>
      </c>
      <c r="C15" t="inlineStr">
        <is>
          <t>Supplier D</t>
        </is>
      </c>
      <c r="D15" s="3" t="n">
        <v>50</v>
      </c>
      <c r="E15" s="3" t="n">
        <v>400</v>
      </c>
      <c r="F15" s="10" t="inlineStr">
        <is>
          <t>입고계획</t>
        </is>
      </c>
      <c r="G15" s="3" t="n">
        <v>0</v>
      </c>
      <c r="H15" s="3" t="n">
        <v>0</v>
      </c>
      <c r="I15" s="3" t="n">
        <v>0</v>
      </c>
      <c r="J15" s="3" t="n">
        <v>300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</row>
    <row r="16">
      <c r="A16" s="11" t="inlineStr">
        <is>
          <t>MAT-005</t>
        </is>
      </c>
      <c r="B16" s="11" t="inlineStr">
        <is>
          <t>NAND Flash</t>
        </is>
      </c>
      <c r="C16" s="11" t="inlineStr">
        <is>
          <t>Supplier D</t>
        </is>
      </c>
      <c r="D16" s="12" t="n">
        <v>50</v>
      </c>
      <c r="E16" s="12" t="n">
        <v>400</v>
      </c>
      <c r="F16" s="13" t="inlineStr">
        <is>
          <t>과부족 계산</t>
        </is>
      </c>
      <c r="G16" s="12">
        <f>G14-$E14-G15</f>
        <v/>
      </c>
      <c r="H16" s="12">
        <f>G16+H14-H15</f>
        <v/>
      </c>
      <c r="I16" s="12">
        <f>H16+I14-I15</f>
        <v/>
      </c>
      <c r="J16" s="12">
        <f>I16+J14-J15</f>
        <v/>
      </c>
      <c r="K16" s="12">
        <f>J16+K14-K15</f>
        <v/>
      </c>
      <c r="L16" s="12">
        <f>K16+L14-L15</f>
        <v/>
      </c>
      <c r="M16" s="12">
        <f>L16+M14-M15</f>
        <v/>
      </c>
      <c r="N16" s="12">
        <f>M16+N14-N15</f>
        <v/>
      </c>
      <c r="O16" s="12">
        <f>N16+O14-O15</f>
        <v/>
      </c>
      <c r="P16" s="12">
        <f>O16+P14-P15</f>
        <v/>
      </c>
      <c r="Q16" s="12">
        <f>P16+Q14-Q15</f>
        <v/>
      </c>
      <c r="R16" s="12">
        <f>Q16+R14-R15</f>
        <v/>
      </c>
    </row>
    <row r="17">
      <c r="A17" t="inlineStr">
        <is>
          <t>MAT-006</t>
        </is>
      </c>
      <c r="B17" t="inlineStr">
        <is>
          <t>MCU</t>
        </is>
      </c>
      <c r="C17" t="inlineStr">
        <is>
          <t>Supplier E</t>
        </is>
      </c>
      <c r="D17" s="3" t="n">
        <v>40</v>
      </c>
      <c r="E17" s="3" t="n">
        <v>250</v>
      </c>
      <c r="F17" s="9" t="inlineStr">
        <is>
          <t>생산계획</t>
        </is>
      </c>
      <c r="G17" s="3" t="n">
        <v>400</v>
      </c>
      <c r="H17" s="3" t="n">
        <v>120</v>
      </c>
      <c r="I17" s="3" t="n">
        <v>440</v>
      </c>
      <c r="J17" s="3" t="n">
        <v>150</v>
      </c>
      <c r="K17" s="3" t="n">
        <v>480</v>
      </c>
      <c r="L17" s="3" t="n">
        <v>180</v>
      </c>
      <c r="M17" s="3" t="n">
        <v>520</v>
      </c>
      <c r="N17" s="3" t="n">
        <v>190</v>
      </c>
      <c r="O17" s="3" t="n">
        <v>560</v>
      </c>
      <c r="P17" s="3" t="n">
        <v>210</v>
      </c>
      <c r="Q17" s="3" t="n">
        <v>600</v>
      </c>
      <c r="R17" s="3" t="n">
        <v>230</v>
      </c>
    </row>
    <row r="18">
      <c r="A18" t="inlineStr">
        <is>
          <t>MAT-006</t>
        </is>
      </c>
      <c r="B18" t="inlineStr">
        <is>
          <t>MCU</t>
        </is>
      </c>
      <c r="C18" t="inlineStr">
        <is>
          <t>Supplier E</t>
        </is>
      </c>
      <c r="D18" s="3" t="n">
        <v>40</v>
      </c>
      <c r="E18" s="3" t="n">
        <v>250</v>
      </c>
      <c r="F18" s="10" t="inlineStr">
        <is>
          <t>입고계획</t>
        </is>
      </c>
      <c r="G18" s="3" t="n">
        <v>0</v>
      </c>
      <c r="H18" s="3" t="n">
        <v>100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</row>
    <row r="19">
      <c r="A19" s="11" t="inlineStr">
        <is>
          <t>MAT-006</t>
        </is>
      </c>
      <c r="B19" s="11" t="inlineStr">
        <is>
          <t>MCU</t>
        </is>
      </c>
      <c r="C19" s="11" t="inlineStr">
        <is>
          <t>Supplier E</t>
        </is>
      </c>
      <c r="D19" s="12" t="n">
        <v>40</v>
      </c>
      <c r="E19" s="12" t="n">
        <v>250</v>
      </c>
      <c r="F19" s="13" t="inlineStr">
        <is>
          <t>과부족 계산</t>
        </is>
      </c>
      <c r="G19" s="12">
        <f>G17-$E17-G18</f>
        <v/>
      </c>
      <c r="H19" s="12">
        <f>G19+H17-H18</f>
        <v/>
      </c>
      <c r="I19" s="12">
        <f>H19+I17-I18</f>
        <v/>
      </c>
      <c r="J19" s="12">
        <f>I19+J17-J18</f>
        <v/>
      </c>
      <c r="K19" s="12">
        <f>J19+K17-K18</f>
        <v/>
      </c>
      <c r="L19" s="12">
        <f>K19+L17-L18</f>
        <v/>
      </c>
      <c r="M19" s="12">
        <f>L19+M17-M18</f>
        <v/>
      </c>
      <c r="N19" s="12">
        <f>M19+N17-N18</f>
        <v/>
      </c>
      <c r="O19" s="12">
        <f>N19+O17-O18</f>
        <v/>
      </c>
      <c r="P19" s="12">
        <f>O19+P17-P18</f>
        <v/>
      </c>
      <c r="Q19" s="12">
        <f>P19+Q17-Q18</f>
        <v/>
      </c>
      <c r="R19" s="12">
        <f>Q19+R17-R18</f>
        <v/>
      </c>
    </row>
    <row r="20">
      <c r="A20" t="inlineStr">
        <is>
          <t>MAT-007</t>
        </is>
      </c>
      <c r="B20" t="inlineStr">
        <is>
          <t>Sensor IC</t>
        </is>
      </c>
      <c r="C20" t="inlineStr">
        <is>
          <t>Supplier F</t>
        </is>
      </c>
      <c r="D20" s="3" t="n">
        <v>55</v>
      </c>
      <c r="E20" s="3" t="n">
        <v>100</v>
      </c>
      <c r="F20" s="9" t="inlineStr">
        <is>
          <t>생산계획</t>
        </is>
      </c>
      <c r="G20" s="3" t="n">
        <v>200</v>
      </c>
      <c r="H20" s="3" t="n">
        <v>200</v>
      </c>
      <c r="I20" s="3" t="n">
        <v>220</v>
      </c>
      <c r="J20" s="3" t="n">
        <v>0</v>
      </c>
      <c r="K20" s="3" t="n">
        <v>500</v>
      </c>
      <c r="L20" s="3" t="n">
        <v>0</v>
      </c>
      <c r="M20" s="3" t="n">
        <v>260</v>
      </c>
      <c r="N20" s="3" t="n">
        <v>300</v>
      </c>
      <c r="O20" s="3" t="n">
        <v>280</v>
      </c>
      <c r="P20" s="3" t="n">
        <v>340</v>
      </c>
      <c r="Q20" s="3" t="n">
        <v>300</v>
      </c>
      <c r="R20" s="3" t="n">
        <v>380</v>
      </c>
    </row>
    <row r="21">
      <c r="A21" t="inlineStr">
        <is>
          <t>MAT-007</t>
        </is>
      </c>
      <c r="B21" t="inlineStr">
        <is>
          <t>Sensor IC</t>
        </is>
      </c>
      <c r="C21" t="inlineStr">
        <is>
          <t>Supplier F</t>
        </is>
      </c>
      <c r="D21" s="3" t="n">
        <v>55</v>
      </c>
      <c r="E21" s="3" t="n">
        <v>100</v>
      </c>
      <c r="F21" s="10" t="inlineStr">
        <is>
          <t>입고계획</t>
        </is>
      </c>
      <c r="G21" s="3" t="n">
        <v>0</v>
      </c>
      <c r="H21" s="3" t="n">
        <v>0</v>
      </c>
      <c r="I21" s="3" t="n">
        <v>200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</row>
    <row r="22">
      <c r="A22" s="11" t="inlineStr">
        <is>
          <t>MAT-007</t>
        </is>
      </c>
      <c r="B22" s="11" t="inlineStr">
        <is>
          <t>Sensor IC</t>
        </is>
      </c>
      <c r="C22" s="11" t="inlineStr">
        <is>
          <t>Supplier F</t>
        </is>
      </c>
      <c r="D22" s="12" t="n">
        <v>55</v>
      </c>
      <c r="E22" s="12" t="n">
        <v>100</v>
      </c>
      <c r="F22" s="13" t="inlineStr">
        <is>
          <t>과부족 계산</t>
        </is>
      </c>
      <c r="G22" s="12">
        <f>G20-$E20-G21</f>
        <v/>
      </c>
      <c r="H22" s="12">
        <f>G22+H20-H21</f>
        <v/>
      </c>
      <c r="I22" s="12">
        <f>H22+I20-I21</f>
        <v/>
      </c>
      <c r="J22" s="12">
        <f>I22+J20-J21</f>
        <v/>
      </c>
      <c r="K22" s="12">
        <f>J22+K20-K21</f>
        <v/>
      </c>
      <c r="L22" s="12">
        <f>K22+L20-L21</f>
        <v/>
      </c>
      <c r="M22" s="12">
        <f>L22+M20-M21</f>
        <v/>
      </c>
      <c r="N22" s="12">
        <f>M22+N20-N21</f>
        <v/>
      </c>
      <c r="O22" s="12">
        <f>N22+O20-O21</f>
        <v/>
      </c>
      <c r="P22" s="12">
        <f>O22+P20-P21</f>
        <v/>
      </c>
      <c r="Q22" s="12">
        <f>P22+Q20-Q21</f>
        <v/>
      </c>
      <c r="R22" s="12">
        <f>Q22+R20-R21</f>
        <v/>
      </c>
    </row>
    <row r="23">
      <c r="A23" t="inlineStr">
        <is>
          <t>MAT-008</t>
        </is>
      </c>
      <c r="B23" t="inlineStr">
        <is>
          <t>PMIC</t>
        </is>
      </c>
      <c r="C23" t="inlineStr">
        <is>
          <t>Supplier B</t>
        </is>
      </c>
      <c r="D23" s="3" t="n">
        <v>35</v>
      </c>
      <c r="E23" s="3" t="n">
        <v>600</v>
      </c>
      <c r="F23" s="9" t="inlineStr">
        <is>
          <t>생산계획</t>
        </is>
      </c>
      <c r="G23" s="3" t="n">
        <v>150</v>
      </c>
      <c r="H23" s="3" t="n">
        <v>0</v>
      </c>
      <c r="I23" s="3" t="n">
        <v>0</v>
      </c>
      <c r="J23" s="3" t="n">
        <v>180</v>
      </c>
      <c r="K23" s="3" t="n">
        <v>0</v>
      </c>
      <c r="L23" s="3" t="n">
        <v>210</v>
      </c>
      <c r="M23" s="3" t="n">
        <v>0</v>
      </c>
      <c r="N23" s="3" t="n">
        <v>220</v>
      </c>
      <c r="O23" s="3" t="n">
        <v>0</v>
      </c>
      <c r="P23" s="3" t="n">
        <v>0</v>
      </c>
      <c r="Q23" s="3" t="n">
        <v>0</v>
      </c>
      <c r="R23" s="3" t="n">
        <v>250</v>
      </c>
    </row>
    <row r="24">
      <c r="A24" t="inlineStr">
        <is>
          <t>MAT-008</t>
        </is>
      </c>
      <c r="B24" t="inlineStr">
        <is>
          <t>PMIC</t>
        </is>
      </c>
      <c r="C24" t="inlineStr">
        <is>
          <t>Supplier B</t>
        </is>
      </c>
      <c r="D24" s="3" t="n">
        <v>35</v>
      </c>
      <c r="E24" s="3" t="n">
        <v>600</v>
      </c>
      <c r="F24" s="10" t="inlineStr">
        <is>
          <t>입고계획</t>
        </is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</row>
    <row r="25">
      <c r="A25" s="11" t="inlineStr">
        <is>
          <t>MAT-008</t>
        </is>
      </c>
      <c r="B25" s="11" t="inlineStr">
        <is>
          <t>PMIC</t>
        </is>
      </c>
      <c r="C25" s="11" t="inlineStr">
        <is>
          <t>Supplier B</t>
        </is>
      </c>
      <c r="D25" s="12" t="n">
        <v>35</v>
      </c>
      <c r="E25" s="12" t="n">
        <v>600</v>
      </c>
      <c r="F25" s="13" t="inlineStr">
        <is>
          <t>과부족 계산</t>
        </is>
      </c>
      <c r="G25" s="12">
        <f>G23-$E23-G24</f>
        <v/>
      </c>
      <c r="H25" s="12">
        <f>G25+H23-H24</f>
        <v/>
      </c>
      <c r="I25" s="12">
        <f>H25+I23-I24</f>
        <v/>
      </c>
      <c r="J25" s="12">
        <f>I25+J23-J24</f>
        <v/>
      </c>
      <c r="K25" s="12">
        <f>J25+K23-K24</f>
        <v/>
      </c>
      <c r="L25" s="12">
        <f>K25+L23-L24</f>
        <v/>
      </c>
      <c r="M25" s="12">
        <f>L25+M23-M24</f>
        <v/>
      </c>
      <c r="N25" s="12">
        <f>M25+N23-N24</f>
        <v/>
      </c>
      <c r="O25" s="12">
        <f>N25+O23-O24</f>
        <v/>
      </c>
      <c r="P25" s="12">
        <f>O25+P23-P24</f>
        <v/>
      </c>
      <c r="Q25" s="12">
        <f>P25+Q23-Q24</f>
        <v/>
      </c>
      <c r="R25" s="12">
        <f>Q25+R23-R24</f>
        <v/>
      </c>
    </row>
    <row r="26">
      <c r="A26" t="inlineStr">
        <is>
          <t>MAT-009</t>
        </is>
      </c>
      <c r="B26" t="inlineStr">
        <is>
          <t>Crystal</t>
        </is>
      </c>
      <c r="C26" t="inlineStr">
        <is>
          <t>Supplier C</t>
        </is>
      </c>
      <c r="D26" s="3" t="n">
        <v>20</v>
      </c>
      <c r="E26" s="3" t="n">
        <v>1500</v>
      </c>
      <c r="F26" s="9" t="inlineStr">
        <is>
          <t>생산계획</t>
        </is>
      </c>
      <c r="G26" s="3" t="n">
        <v>300</v>
      </c>
      <c r="H26" s="3" t="n">
        <v>0</v>
      </c>
      <c r="I26" s="3" t="n">
        <v>0</v>
      </c>
      <c r="J26" s="3" t="n">
        <v>360</v>
      </c>
      <c r="K26" s="3" t="n">
        <v>0</v>
      </c>
      <c r="L26" s="3" t="n">
        <v>420</v>
      </c>
      <c r="M26" s="3" t="n">
        <v>0</v>
      </c>
      <c r="N26" s="3" t="n">
        <v>440</v>
      </c>
      <c r="O26" s="3" t="n">
        <v>0</v>
      </c>
      <c r="P26" s="3" t="n">
        <v>0</v>
      </c>
      <c r="Q26" s="3" t="n">
        <v>0</v>
      </c>
      <c r="R26" s="3" t="n">
        <v>500</v>
      </c>
    </row>
    <row r="27">
      <c r="A27" t="inlineStr">
        <is>
          <t>MAT-009</t>
        </is>
      </c>
      <c r="B27" t="inlineStr">
        <is>
          <t>Crystal</t>
        </is>
      </c>
      <c r="C27" t="inlineStr">
        <is>
          <t>Supplier C</t>
        </is>
      </c>
      <c r="D27" s="3" t="n">
        <v>20</v>
      </c>
      <c r="E27" s="3" t="n">
        <v>1500</v>
      </c>
      <c r="F27" s="10" t="inlineStr">
        <is>
          <t>입고계획</t>
        </is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</row>
    <row r="28">
      <c r="A28" s="11" t="inlineStr">
        <is>
          <t>MAT-009</t>
        </is>
      </c>
      <c r="B28" s="11" t="inlineStr">
        <is>
          <t>Crystal</t>
        </is>
      </c>
      <c r="C28" s="11" t="inlineStr">
        <is>
          <t>Supplier C</t>
        </is>
      </c>
      <c r="D28" s="12" t="n">
        <v>20</v>
      </c>
      <c r="E28" s="12" t="n">
        <v>1500</v>
      </c>
      <c r="F28" s="13" t="inlineStr">
        <is>
          <t>과부족 계산</t>
        </is>
      </c>
      <c r="G28" s="12">
        <f>G26-$E26-G27</f>
        <v/>
      </c>
      <c r="H28" s="12">
        <f>G28+H26-H27</f>
        <v/>
      </c>
      <c r="I28" s="12">
        <f>H28+I26-I27</f>
        <v/>
      </c>
      <c r="J28" s="12">
        <f>I28+J26-J27</f>
        <v/>
      </c>
      <c r="K28" s="12">
        <f>J28+K26-K27</f>
        <v/>
      </c>
      <c r="L28" s="12">
        <f>K28+L26-L27</f>
        <v/>
      </c>
      <c r="M28" s="12">
        <f>L28+M26-M27</f>
        <v/>
      </c>
      <c r="N28" s="12">
        <f>M28+N26-N27</f>
        <v/>
      </c>
      <c r="O28" s="12">
        <f>N28+O26-O27</f>
        <v/>
      </c>
      <c r="P28" s="12">
        <f>O28+P26-P27</f>
        <v/>
      </c>
      <c r="Q28" s="12">
        <f>P28+Q26-Q27</f>
        <v/>
      </c>
      <c r="R28" s="12">
        <f>Q28+R26-R27</f>
        <v/>
      </c>
    </row>
    <row r="29">
      <c r="A29" t="inlineStr">
        <is>
          <t>MAT-010</t>
        </is>
      </c>
      <c r="B29" t="inlineStr">
        <is>
          <t>SSD Controller</t>
        </is>
      </c>
      <c r="C29" t="inlineStr">
        <is>
          <t>Supplier G</t>
        </is>
      </c>
      <c r="D29" s="3" t="n">
        <v>70</v>
      </c>
      <c r="E29" s="3" t="n">
        <v>200</v>
      </c>
      <c r="F29" s="9" t="inlineStr">
        <is>
          <t>생산계획</t>
        </is>
      </c>
      <c r="G29" s="3" t="n">
        <v>0</v>
      </c>
      <c r="H29" s="3" t="n">
        <v>180</v>
      </c>
      <c r="I29" s="3" t="n">
        <v>160</v>
      </c>
      <c r="J29" s="3" t="n">
        <v>220</v>
      </c>
      <c r="K29" s="3" t="n">
        <v>0</v>
      </c>
      <c r="L29" s="3" t="n">
        <v>260</v>
      </c>
      <c r="M29" s="3" t="n">
        <v>200</v>
      </c>
      <c r="N29" s="3" t="n">
        <v>280</v>
      </c>
      <c r="O29" s="3" t="n">
        <v>230</v>
      </c>
      <c r="P29" s="3" t="n">
        <v>300</v>
      </c>
      <c r="Q29" s="3" t="n">
        <v>250</v>
      </c>
      <c r="R29" s="3" t="n">
        <v>320</v>
      </c>
    </row>
    <row r="30">
      <c r="A30" t="inlineStr">
        <is>
          <t>MAT-010</t>
        </is>
      </c>
      <c r="B30" t="inlineStr">
        <is>
          <t>SSD Controller</t>
        </is>
      </c>
      <c r="C30" t="inlineStr">
        <is>
          <t>Supplier G</t>
        </is>
      </c>
      <c r="D30" s="3" t="n">
        <v>70</v>
      </c>
      <c r="E30" s="3" t="n">
        <v>200</v>
      </c>
      <c r="F30" s="10" t="inlineStr">
        <is>
          <t>입고계획</t>
        </is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100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</row>
    <row r="31">
      <c r="A31" s="11" t="inlineStr">
        <is>
          <t>MAT-010</t>
        </is>
      </c>
      <c r="B31" s="11" t="inlineStr">
        <is>
          <t>SSD Controller</t>
        </is>
      </c>
      <c r="C31" s="11" t="inlineStr">
        <is>
          <t>Supplier G</t>
        </is>
      </c>
      <c r="D31" s="12" t="n">
        <v>70</v>
      </c>
      <c r="E31" s="12" t="n">
        <v>200</v>
      </c>
      <c r="F31" s="13" t="inlineStr">
        <is>
          <t>과부족 계산</t>
        </is>
      </c>
      <c r="G31" s="12">
        <f>G29-$E29-G30</f>
        <v/>
      </c>
      <c r="H31" s="12">
        <f>G31+H29-H30</f>
        <v/>
      </c>
      <c r="I31" s="12">
        <f>H31+I29-I30</f>
        <v/>
      </c>
      <c r="J31" s="12">
        <f>I31+J29-J30</f>
        <v/>
      </c>
      <c r="K31" s="12">
        <f>J31+K29-K30</f>
        <v/>
      </c>
      <c r="L31" s="12">
        <f>K31+L29-L30</f>
        <v/>
      </c>
      <c r="M31" s="12">
        <f>L31+M29-M30</f>
        <v/>
      </c>
      <c r="N31" s="12">
        <f>M31+N29-N30</f>
        <v/>
      </c>
      <c r="O31" s="12">
        <f>N31+O29-O30</f>
        <v/>
      </c>
      <c r="P31" s="12">
        <f>O31+P29-P30</f>
        <v/>
      </c>
      <c r="Q31" s="12">
        <f>P31+Q29-Q30</f>
        <v/>
      </c>
      <c r="R31" s="12">
        <f>Q31+R29-R30</f>
        <v/>
      </c>
    </row>
    <row r="32">
      <c r="A32" t="inlineStr">
        <is>
          <t>MAT-011</t>
        </is>
      </c>
      <c r="B32" t="inlineStr">
        <is>
          <t>Connector</t>
        </is>
      </c>
      <c r="C32" t="inlineStr">
        <is>
          <t>Supplier A</t>
        </is>
      </c>
      <c r="D32" s="3" t="n">
        <v>30</v>
      </c>
      <c r="E32" s="3" t="n">
        <v>900</v>
      </c>
      <c r="F32" s="9" t="inlineStr">
        <is>
          <t>생산계획</t>
        </is>
      </c>
      <c r="G32" s="3" t="n">
        <v>900</v>
      </c>
      <c r="H32" s="3" t="n">
        <v>1200</v>
      </c>
      <c r="I32" s="3" t="n">
        <v>1370</v>
      </c>
      <c r="J32" s="3" t="n">
        <v>0</v>
      </c>
      <c r="K32" s="3" t="n">
        <v>1140</v>
      </c>
      <c r="L32" s="3" t="n">
        <v>1260</v>
      </c>
      <c r="M32" s="3" t="n">
        <v>1570</v>
      </c>
      <c r="N32" s="3" t="n">
        <v>0</v>
      </c>
      <c r="O32" s="3" t="n">
        <v>1810</v>
      </c>
      <c r="P32" s="3" t="n">
        <v>1410</v>
      </c>
      <c r="Q32" s="3" t="n">
        <v>2000</v>
      </c>
      <c r="R32" s="3" t="n">
        <v>0</v>
      </c>
    </row>
    <row r="33">
      <c r="A33" t="inlineStr">
        <is>
          <t>MAT-011</t>
        </is>
      </c>
      <c r="B33" t="inlineStr">
        <is>
          <t>Connector</t>
        </is>
      </c>
      <c r="C33" t="inlineStr">
        <is>
          <t>Supplier A</t>
        </is>
      </c>
      <c r="D33" s="3" t="n">
        <v>30</v>
      </c>
      <c r="E33" s="3" t="n">
        <v>900</v>
      </c>
      <c r="F33" s="10" t="inlineStr">
        <is>
          <t>입고계획</t>
        </is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</row>
    <row r="34">
      <c r="A34" s="11" t="inlineStr">
        <is>
          <t>MAT-011</t>
        </is>
      </c>
      <c r="B34" s="11" t="inlineStr">
        <is>
          <t>Connector</t>
        </is>
      </c>
      <c r="C34" s="11" t="inlineStr">
        <is>
          <t>Supplier A</t>
        </is>
      </c>
      <c r="D34" s="12" t="n">
        <v>30</v>
      </c>
      <c r="E34" s="12" t="n">
        <v>900</v>
      </c>
      <c r="F34" s="13" t="inlineStr">
        <is>
          <t>과부족 계산</t>
        </is>
      </c>
      <c r="G34" s="12">
        <f>G32-$E32-G33</f>
        <v/>
      </c>
      <c r="H34" s="12">
        <f>G34+H32-H33</f>
        <v/>
      </c>
      <c r="I34" s="12">
        <f>H34+I32-I33</f>
        <v/>
      </c>
      <c r="J34" s="12">
        <f>I34+J32-J33</f>
        <v/>
      </c>
      <c r="K34" s="12">
        <f>J34+K32-K33</f>
        <v/>
      </c>
      <c r="L34" s="12">
        <f>K34+L32-L33</f>
        <v/>
      </c>
      <c r="M34" s="12">
        <f>L34+M32-M33</f>
        <v/>
      </c>
      <c r="N34" s="12">
        <f>M34+N32-N33</f>
        <v/>
      </c>
      <c r="O34" s="12">
        <f>N34+O32-O33</f>
        <v/>
      </c>
      <c r="P34" s="12">
        <f>O34+P32-P33</f>
        <v/>
      </c>
      <c r="Q34" s="12">
        <f>P34+Q32-Q33</f>
        <v/>
      </c>
      <c r="R34" s="12">
        <f>Q34+R32-R33</f>
        <v/>
      </c>
    </row>
    <row r="35">
      <c r="A35" t="inlineStr">
        <is>
          <t>MAT-012</t>
        </is>
      </c>
      <c r="B35" t="inlineStr">
        <is>
          <t>Thermal Pad</t>
        </is>
      </c>
      <c r="C35" t="inlineStr">
        <is>
          <t>Supplier H</t>
        </is>
      </c>
      <c r="D35" s="3" t="n">
        <v>25</v>
      </c>
      <c r="E35" s="3" t="n">
        <v>0</v>
      </c>
      <c r="F35" s="9" t="inlineStr">
        <is>
          <t>생산계획</t>
        </is>
      </c>
      <c r="G35" s="3" t="n">
        <v>1000</v>
      </c>
      <c r="H35" s="3" t="n">
        <v>0</v>
      </c>
      <c r="I35" s="3" t="n">
        <v>1200</v>
      </c>
      <c r="J35" s="3" t="n">
        <v>0</v>
      </c>
      <c r="K35" s="3" t="n">
        <v>1120</v>
      </c>
      <c r="L35" s="3" t="n">
        <v>0</v>
      </c>
      <c r="M35" s="3" t="n">
        <v>1280</v>
      </c>
      <c r="N35" s="3" t="n">
        <v>0</v>
      </c>
      <c r="O35" s="3" t="n">
        <v>1360</v>
      </c>
      <c r="P35" s="3" t="n">
        <v>0</v>
      </c>
      <c r="Q35" s="3" t="n">
        <v>1440</v>
      </c>
      <c r="R35" s="3" t="n">
        <v>0</v>
      </c>
    </row>
    <row r="36">
      <c r="A36" t="inlineStr">
        <is>
          <t>MAT-012</t>
        </is>
      </c>
      <c r="B36" t="inlineStr">
        <is>
          <t>Thermal Pad</t>
        </is>
      </c>
      <c r="C36" t="inlineStr">
        <is>
          <t>Supplier H</t>
        </is>
      </c>
      <c r="D36" s="3" t="n">
        <v>25</v>
      </c>
      <c r="E36" s="3" t="n">
        <v>0</v>
      </c>
      <c r="F36" s="10" t="inlineStr">
        <is>
          <t>입고계획</t>
        </is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</row>
    <row r="37">
      <c r="A37" s="11" t="inlineStr">
        <is>
          <t>MAT-012</t>
        </is>
      </c>
      <c r="B37" s="11" t="inlineStr">
        <is>
          <t>Thermal Pad</t>
        </is>
      </c>
      <c r="C37" s="11" t="inlineStr">
        <is>
          <t>Supplier H</t>
        </is>
      </c>
      <c r="D37" s="12" t="n">
        <v>25</v>
      </c>
      <c r="E37" s="12" t="n">
        <v>0</v>
      </c>
      <c r="F37" s="13" t="inlineStr">
        <is>
          <t>과부족 계산</t>
        </is>
      </c>
      <c r="G37" s="12">
        <f>G35-$E35-G36</f>
        <v/>
      </c>
      <c r="H37" s="12">
        <f>G37+H35-H36</f>
        <v/>
      </c>
      <c r="I37" s="12">
        <f>H37+I35-I36</f>
        <v/>
      </c>
      <c r="J37" s="12">
        <f>I37+J35-J36</f>
        <v/>
      </c>
      <c r="K37" s="12">
        <f>J37+K35-K36</f>
        <v/>
      </c>
      <c r="L37" s="12">
        <f>K37+L35-L36</f>
        <v/>
      </c>
      <c r="M37" s="12">
        <f>L37+M35-M36</f>
        <v/>
      </c>
      <c r="N37" s="12">
        <f>M37+N35-N36</f>
        <v/>
      </c>
      <c r="O37" s="12">
        <f>N37+O35-O36</f>
        <v/>
      </c>
      <c r="P37" s="12">
        <f>O37+P35-P36</f>
        <v/>
      </c>
      <c r="Q37" s="12">
        <f>P37+Q35-Q36</f>
        <v/>
      </c>
      <c r="R37" s="12">
        <f>Q37+R35-R36</f>
        <v/>
      </c>
    </row>
    <row r="38">
      <c r="A38" t="inlineStr">
        <is>
          <t>MAT-013</t>
        </is>
      </c>
      <c r="B38" t="inlineStr">
        <is>
          <t>FPCB</t>
        </is>
      </c>
      <c r="C38" t="inlineStr">
        <is>
          <t>Supplier I</t>
        </is>
      </c>
      <c r="D38" s="3" t="n">
        <v>45</v>
      </c>
      <c r="E38" s="3" t="n">
        <v>100</v>
      </c>
      <c r="F38" s="9" t="inlineStr">
        <is>
          <t>생산계획</t>
        </is>
      </c>
      <c r="G38" s="3" t="n">
        <v>400</v>
      </c>
      <c r="H38" s="3" t="n">
        <v>0</v>
      </c>
      <c r="I38" s="3" t="n">
        <v>440</v>
      </c>
      <c r="J38" s="3" t="n">
        <v>0</v>
      </c>
      <c r="K38" s="3" t="n">
        <v>480</v>
      </c>
      <c r="L38" s="3" t="n">
        <v>0</v>
      </c>
      <c r="M38" s="3" t="n">
        <v>520</v>
      </c>
      <c r="N38" s="3" t="n">
        <v>0</v>
      </c>
      <c r="O38" s="3" t="n">
        <v>560</v>
      </c>
      <c r="P38" s="3" t="n">
        <v>0</v>
      </c>
      <c r="Q38" s="3" t="n">
        <v>600</v>
      </c>
      <c r="R38" s="3" t="n">
        <v>0</v>
      </c>
    </row>
    <row r="39">
      <c r="A39" t="inlineStr">
        <is>
          <t>MAT-013</t>
        </is>
      </c>
      <c r="B39" t="inlineStr">
        <is>
          <t>FPCB</t>
        </is>
      </c>
      <c r="C39" t="inlineStr">
        <is>
          <t>Supplier I</t>
        </is>
      </c>
      <c r="D39" s="3" t="n">
        <v>45</v>
      </c>
      <c r="E39" s="3" t="n">
        <v>100</v>
      </c>
      <c r="F39" s="10" t="inlineStr">
        <is>
          <t>입고계획</t>
        </is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150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</row>
    <row r="40">
      <c r="A40" s="11" t="inlineStr">
        <is>
          <t>MAT-013</t>
        </is>
      </c>
      <c r="B40" s="11" t="inlineStr">
        <is>
          <t>FPCB</t>
        </is>
      </c>
      <c r="C40" s="11" t="inlineStr">
        <is>
          <t>Supplier I</t>
        </is>
      </c>
      <c r="D40" s="12" t="n">
        <v>45</v>
      </c>
      <c r="E40" s="12" t="n">
        <v>100</v>
      </c>
      <c r="F40" s="13" t="inlineStr">
        <is>
          <t>과부족 계산</t>
        </is>
      </c>
      <c r="G40" s="12">
        <f>G38-$E38-G39</f>
        <v/>
      </c>
      <c r="H40" s="12">
        <f>G40+H38-H39</f>
        <v/>
      </c>
      <c r="I40" s="12">
        <f>H40+I38-I39</f>
        <v/>
      </c>
      <c r="J40" s="12">
        <f>I40+J38-J39</f>
        <v/>
      </c>
      <c r="K40" s="12">
        <f>J40+K38-K39</f>
        <v/>
      </c>
      <c r="L40" s="12">
        <f>K40+L38-L39</f>
        <v/>
      </c>
      <c r="M40" s="12">
        <f>L40+M38-M39</f>
        <v/>
      </c>
      <c r="N40" s="12">
        <f>M40+N38-N39</f>
        <v/>
      </c>
      <c r="O40" s="12">
        <f>N40+O38-O39</f>
        <v/>
      </c>
      <c r="P40" s="12">
        <f>O40+P38-P39</f>
        <v/>
      </c>
      <c r="Q40" s="12">
        <f>P40+Q38-Q39</f>
        <v/>
      </c>
      <c r="R40" s="12">
        <f>Q40+R38-R39</f>
        <v/>
      </c>
    </row>
    <row r="41">
      <c r="A41" t="inlineStr">
        <is>
          <t>MAT-014</t>
        </is>
      </c>
      <c r="B41" t="inlineStr">
        <is>
          <t>Housing</t>
        </is>
      </c>
      <c r="C41" t="inlineStr">
        <is>
          <t>Supplier J</t>
        </is>
      </c>
      <c r="D41" s="3" t="n">
        <v>20</v>
      </c>
      <c r="E41" s="3" t="n">
        <v>700</v>
      </c>
      <c r="F41" s="9" t="inlineStr">
        <is>
          <t>생산계획</t>
        </is>
      </c>
      <c r="G41" s="3" t="n">
        <v>150</v>
      </c>
      <c r="H41" s="3" t="n">
        <v>0</v>
      </c>
      <c r="I41" s="3" t="n">
        <v>0</v>
      </c>
      <c r="J41" s="3" t="n">
        <v>180</v>
      </c>
      <c r="K41" s="3" t="n">
        <v>0</v>
      </c>
      <c r="L41" s="3" t="n">
        <v>210</v>
      </c>
      <c r="M41" s="3" t="n">
        <v>0</v>
      </c>
      <c r="N41" s="3" t="n">
        <v>220</v>
      </c>
      <c r="O41" s="3" t="n">
        <v>0</v>
      </c>
      <c r="P41" s="3" t="n">
        <v>0</v>
      </c>
      <c r="Q41" s="3" t="n">
        <v>0</v>
      </c>
      <c r="R41" s="3" t="n">
        <v>250</v>
      </c>
    </row>
    <row r="42">
      <c r="A42" t="inlineStr">
        <is>
          <t>MAT-014</t>
        </is>
      </c>
      <c r="B42" t="inlineStr">
        <is>
          <t>Housing</t>
        </is>
      </c>
      <c r="C42" t="inlineStr">
        <is>
          <t>Supplier J</t>
        </is>
      </c>
      <c r="D42" s="3" t="n">
        <v>20</v>
      </c>
      <c r="E42" s="3" t="n">
        <v>700</v>
      </c>
      <c r="F42" s="10" t="inlineStr">
        <is>
          <t>입고계획</t>
        </is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</row>
    <row r="43">
      <c r="A43" s="11" t="inlineStr">
        <is>
          <t>MAT-014</t>
        </is>
      </c>
      <c r="B43" s="11" t="inlineStr">
        <is>
          <t>Housing</t>
        </is>
      </c>
      <c r="C43" s="11" t="inlineStr">
        <is>
          <t>Supplier J</t>
        </is>
      </c>
      <c r="D43" s="12" t="n">
        <v>20</v>
      </c>
      <c r="E43" s="12" t="n">
        <v>700</v>
      </c>
      <c r="F43" s="13" t="inlineStr">
        <is>
          <t>과부족 계산</t>
        </is>
      </c>
      <c r="G43" s="12">
        <f>G41-$E41-G42</f>
        <v/>
      </c>
      <c r="H43" s="12">
        <f>G43+H41-H42</f>
        <v/>
      </c>
      <c r="I43" s="12">
        <f>H43+I41-I42</f>
        <v/>
      </c>
      <c r="J43" s="12">
        <f>I43+J41-J42</f>
        <v/>
      </c>
      <c r="K43" s="12">
        <f>J43+K41-K42</f>
        <v/>
      </c>
      <c r="L43" s="12">
        <f>K43+L41-L42</f>
        <v/>
      </c>
      <c r="M43" s="12">
        <f>L43+M41-M42</f>
        <v/>
      </c>
      <c r="N43" s="12">
        <f>M43+N41-N42</f>
        <v/>
      </c>
      <c r="O43" s="12">
        <f>N43+O41-O42</f>
        <v/>
      </c>
      <c r="P43" s="12">
        <f>O43+P41-P42</f>
        <v/>
      </c>
      <c r="Q43" s="12">
        <f>P43+Q41-Q42</f>
        <v/>
      </c>
      <c r="R43" s="12">
        <f>Q43+R41-R42</f>
        <v/>
      </c>
    </row>
    <row r="44">
      <c r="A44" t="inlineStr">
        <is>
          <t>MAT-015</t>
        </is>
      </c>
      <c r="B44" t="inlineStr">
        <is>
          <t>Screw</t>
        </is>
      </c>
      <c r="C44" t="inlineStr">
        <is>
          <t>Supplier K</t>
        </is>
      </c>
      <c r="D44" s="3" t="n">
        <v>15</v>
      </c>
      <c r="E44" s="3" t="n">
        <v>3000</v>
      </c>
      <c r="F44" s="9" t="inlineStr">
        <is>
          <t>생산계획</t>
        </is>
      </c>
      <c r="G44" s="3" t="n">
        <v>0</v>
      </c>
      <c r="H44" s="3" t="n">
        <v>1080</v>
      </c>
      <c r="I44" s="3" t="n">
        <v>0</v>
      </c>
      <c r="J44" s="3" t="n">
        <v>1320</v>
      </c>
      <c r="K44" s="3" t="n">
        <v>0</v>
      </c>
      <c r="L44" s="3" t="n">
        <v>1560</v>
      </c>
      <c r="M44" s="3" t="n">
        <v>0</v>
      </c>
      <c r="N44" s="3" t="n">
        <v>1680</v>
      </c>
      <c r="O44" s="3" t="n">
        <v>0</v>
      </c>
      <c r="P44" s="3" t="n">
        <v>1800</v>
      </c>
      <c r="Q44" s="3" t="n">
        <v>0</v>
      </c>
      <c r="R44" s="3" t="n">
        <v>1920</v>
      </c>
    </row>
    <row r="45">
      <c r="A45" t="inlineStr">
        <is>
          <t>MAT-015</t>
        </is>
      </c>
      <c r="B45" t="inlineStr">
        <is>
          <t>Screw</t>
        </is>
      </c>
      <c r="C45" t="inlineStr">
        <is>
          <t>Supplier K</t>
        </is>
      </c>
      <c r="D45" s="3" t="n">
        <v>15</v>
      </c>
      <c r="E45" s="3" t="n">
        <v>3000</v>
      </c>
      <c r="F45" s="10" t="inlineStr">
        <is>
          <t>입고계획</t>
        </is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</row>
    <row r="46">
      <c r="A46" s="11" t="inlineStr">
        <is>
          <t>MAT-015</t>
        </is>
      </c>
      <c r="B46" s="11" t="inlineStr">
        <is>
          <t>Screw</t>
        </is>
      </c>
      <c r="C46" s="11" t="inlineStr">
        <is>
          <t>Supplier K</t>
        </is>
      </c>
      <c r="D46" s="12" t="n">
        <v>15</v>
      </c>
      <c r="E46" s="12" t="n">
        <v>3000</v>
      </c>
      <c r="F46" s="13" t="inlineStr">
        <is>
          <t>과부족 계산</t>
        </is>
      </c>
      <c r="G46" s="12">
        <f>G44-$E44-G45</f>
        <v/>
      </c>
      <c r="H46" s="12">
        <f>G46+H44-H45</f>
        <v/>
      </c>
      <c r="I46" s="12">
        <f>H46+I44-I45</f>
        <v/>
      </c>
      <c r="J46" s="12">
        <f>I46+J44-J45</f>
        <v/>
      </c>
      <c r="K46" s="12">
        <f>J46+K44-K45</f>
        <v/>
      </c>
      <c r="L46" s="12">
        <f>K46+L44-L45</f>
        <v/>
      </c>
      <c r="M46" s="12">
        <f>L46+M44-M45</f>
        <v/>
      </c>
      <c r="N46" s="12">
        <f>M46+N44-N45</f>
        <v/>
      </c>
      <c r="O46" s="12">
        <f>N46+O44-O45</f>
        <v/>
      </c>
      <c r="P46" s="12">
        <f>O46+P44-P45</f>
        <v/>
      </c>
      <c r="Q46" s="12">
        <f>P46+Q44-Q45</f>
        <v/>
      </c>
      <c r="R46" s="12">
        <f>Q46+R44-R45</f>
        <v/>
      </c>
    </row>
    <row r="47">
      <c r="A47" t="inlineStr">
        <is>
          <t>MAT-016</t>
        </is>
      </c>
      <c r="B47" t="inlineStr">
        <is>
          <t>Automotive IC</t>
        </is>
      </c>
      <c r="C47" t="inlineStr">
        <is>
          <t>Supplier L</t>
        </is>
      </c>
      <c r="D47" s="3" t="n">
        <v>80</v>
      </c>
      <c r="E47" s="3" t="n">
        <v>50</v>
      </c>
      <c r="F47" s="9" t="inlineStr">
        <is>
          <t>생산계획</t>
        </is>
      </c>
      <c r="G47" s="3" t="n">
        <v>0</v>
      </c>
      <c r="H47" s="3" t="n">
        <v>120</v>
      </c>
      <c r="I47" s="3" t="n">
        <v>0</v>
      </c>
      <c r="J47" s="3" t="n">
        <v>150</v>
      </c>
      <c r="K47" s="3" t="n">
        <v>0</v>
      </c>
      <c r="L47" s="3" t="n">
        <v>180</v>
      </c>
      <c r="M47" s="3" t="n">
        <v>0</v>
      </c>
      <c r="N47" s="3" t="n">
        <v>190</v>
      </c>
      <c r="O47" s="3" t="n">
        <v>0</v>
      </c>
      <c r="P47" s="3" t="n">
        <v>210</v>
      </c>
      <c r="Q47" s="3" t="n">
        <v>0</v>
      </c>
      <c r="R47" s="3" t="n">
        <v>230</v>
      </c>
    </row>
    <row r="48">
      <c r="A48" t="inlineStr">
        <is>
          <t>MAT-016</t>
        </is>
      </c>
      <c r="B48" t="inlineStr">
        <is>
          <t>Automotive IC</t>
        </is>
      </c>
      <c r="C48" t="inlineStr">
        <is>
          <t>Supplier L</t>
        </is>
      </c>
      <c r="D48" s="3" t="n">
        <v>80</v>
      </c>
      <c r="E48" s="3" t="n">
        <v>50</v>
      </c>
      <c r="F48" s="10" t="inlineStr">
        <is>
          <t>입고계획</t>
        </is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100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</row>
    <row r="49">
      <c r="A49" s="11" t="inlineStr">
        <is>
          <t>MAT-016</t>
        </is>
      </c>
      <c r="B49" s="11" t="inlineStr">
        <is>
          <t>Automotive IC</t>
        </is>
      </c>
      <c r="C49" s="11" t="inlineStr">
        <is>
          <t>Supplier L</t>
        </is>
      </c>
      <c r="D49" s="12" t="n">
        <v>80</v>
      </c>
      <c r="E49" s="12" t="n">
        <v>50</v>
      </c>
      <c r="F49" s="13" t="inlineStr">
        <is>
          <t>과부족 계산</t>
        </is>
      </c>
      <c r="G49" s="12">
        <f>G47-$E47-G48</f>
        <v/>
      </c>
      <c r="H49" s="12">
        <f>G49+H47-H48</f>
        <v/>
      </c>
      <c r="I49" s="12">
        <f>H49+I47-I48</f>
        <v/>
      </c>
      <c r="J49" s="12">
        <f>I49+J47-J48</f>
        <v/>
      </c>
      <c r="K49" s="12">
        <f>J49+K47-K48</f>
        <v/>
      </c>
      <c r="L49" s="12">
        <f>K49+L47-L48</f>
        <v/>
      </c>
      <c r="M49" s="12">
        <f>L49+M47-M48</f>
        <v/>
      </c>
      <c r="N49" s="12">
        <f>M49+N47-N48</f>
        <v/>
      </c>
      <c r="O49" s="12">
        <f>N49+O47-O48</f>
        <v/>
      </c>
      <c r="P49" s="12">
        <f>O49+P47-P48</f>
        <v/>
      </c>
      <c r="Q49" s="12">
        <f>P49+Q47-Q48</f>
        <v/>
      </c>
      <c r="R49" s="12">
        <f>Q49+R47-R48</f>
        <v/>
      </c>
    </row>
    <row r="50">
      <c r="A50" t="inlineStr">
        <is>
          <t>MAT-017</t>
        </is>
      </c>
      <c r="B50" t="inlineStr">
        <is>
          <t>Shield Can</t>
        </is>
      </c>
      <c r="C50" t="inlineStr">
        <is>
          <t>Supplier M</t>
        </is>
      </c>
      <c r="D50" s="3" t="n">
        <v>35</v>
      </c>
      <c r="E50" s="3" t="n">
        <v>200</v>
      </c>
      <c r="F50" s="9" t="inlineStr">
        <is>
          <t>생산계획</t>
        </is>
      </c>
      <c r="G50" s="3" t="n">
        <v>0</v>
      </c>
      <c r="H50" s="3" t="n">
        <v>240</v>
      </c>
      <c r="I50" s="3" t="n">
        <v>0</v>
      </c>
      <c r="J50" s="3" t="n">
        <v>300</v>
      </c>
      <c r="K50" s="3" t="n">
        <v>0</v>
      </c>
      <c r="L50" s="3" t="n">
        <v>360</v>
      </c>
      <c r="M50" s="3" t="n">
        <v>0</v>
      </c>
      <c r="N50" s="3" t="n">
        <v>380</v>
      </c>
      <c r="O50" s="3" t="n">
        <v>0</v>
      </c>
      <c r="P50" s="3" t="n">
        <v>420</v>
      </c>
      <c r="Q50" s="3" t="n">
        <v>0</v>
      </c>
      <c r="R50" s="3" t="n">
        <v>460</v>
      </c>
    </row>
    <row r="51">
      <c r="A51" t="inlineStr">
        <is>
          <t>MAT-017</t>
        </is>
      </c>
      <c r="B51" t="inlineStr">
        <is>
          <t>Shield Can</t>
        </is>
      </c>
      <c r="C51" t="inlineStr">
        <is>
          <t>Supplier M</t>
        </is>
      </c>
      <c r="D51" s="3" t="n">
        <v>35</v>
      </c>
      <c r="E51" s="3" t="n">
        <v>200</v>
      </c>
      <c r="F51" s="10" t="inlineStr">
        <is>
          <t>입고계획</t>
        </is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</row>
    <row r="52">
      <c r="A52" s="11" t="inlineStr">
        <is>
          <t>MAT-017</t>
        </is>
      </c>
      <c r="B52" s="11" t="inlineStr">
        <is>
          <t>Shield Can</t>
        </is>
      </c>
      <c r="C52" s="11" t="inlineStr">
        <is>
          <t>Supplier M</t>
        </is>
      </c>
      <c r="D52" s="12" t="n">
        <v>35</v>
      </c>
      <c r="E52" s="12" t="n">
        <v>200</v>
      </c>
      <c r="F52" s="13" t="inlineStr">
        <is>
          <t>과부족 계산</t>
        </is>
      </c>
      <c r="G52" s="12">
        <f>G50-$E50-G51</f>
        <v/>
      </c>
      <c r="H52" s="12">
        <f>G52+H50-H51</f>
        <v/>
      </c>
      <c r="I52" s="12">
        <f>H52+I50-I51</f>
        <v/>
      </c>
      <c r="J52" s="12">
        <f>I52+J50-J51</f>
        <v/>
      </c>
      <c r="K52" s="12">
        <f>J52+K50-K51</f>
        <v/>
      </c>
      <c r="L52" s="12">
        <f>K52+L50-L51</f>
        <v/>
      </c>
      <c r="M52" s="12">
        <f>L52+M50-M51</f>
        <v/>
      </c>
      <c r="N52" s="12">
        <f>M52+N50-N51</f>
        <v/>
      </c>
      <c r="O52" s="12">
        <f>N52+O50-O51</f>
        <v/>
      </c>
      <c r="P52" s="12">
        <f>O52+P50-P51</f>
        <v/>
      </c>
      <c r="Q52" s="12">
        <f>P52+Q50-Q51</f>
        <v/>
      </c>
      <c r="R52" s="12">
        <f>Q52+R50-R51</f>
        <v/>
      </c>
    </row>
    <row r="53">
      <c r="A53" t="inlineStr">
        <is>
          <t>MAT-018</t>
        </is>
      </c>
      <c r="B53" t="inlineStr">
        <is>
          <t>RF Module</t>
        </is>
      </c>
      <c r="C53" t="inlineStr">
        <is>
          <t>Supplier N</t>
        </is>
      </c>
      <c r="D53" s="3" t="n">
        <v>65</v>
      </c>
      <c r="E53" s="3" t="n">
        <v>80</v>
      </c>
      <c r="F53" s="9" t="inlineStr">
        <is>
          <t>생산계획</t>
        </is>
      </c>
      <c r="G53" s="3" t="n">
        <v>0</v>
      </c>
      <c r="H53" s="3" t="n">
        <v>100</v>
      </c>
      <c r="I53" s="3" t="n">
        <v>0</v>
      </c>
      <c r="J53" s="3" t="n">
        <v>0</v>
      </c>
      <c r="K53" s="3" t="n">
        <v>130</v>
      </c>
      <c r="L53" s="3" t="n">
        <v>0</v>
      </c>
      <c r="M53" s="3" t="n">
        <v>0</v>
      </c>
      <c r="N53" s="3" t="n">
        <v>150</v>
      </c>
      <c r="O53" s="3" t="n">
        <v>0</v>
      </c>
      <c r="P53" s="3" t="n">
        <v>170</v>
      </c>
      <c r="Q53" s="3" t="n">
        <v>0</v>
      </c>
      <c r="R53" s="3" t="n">
        <v>190</v>
      </c>
    </row>
    <row r="54">
      <c r="A54" t="inlineStr">
        <is>
          <t>MAT-018</t>
        </is>
      </c>
      <c r="B54" t="inlineStr">
        <is>
          <t>RF Module</t>
        </is>
      </c>
      <c r="C54" t="inlineStr">
        <is>
          <t>Supplier N</t>
        </is>
      </c>
      <c r="D54" s="3" t="n">
        <v>65</v>
      </c>
      <c r="E54" s="3" t="n">
        <v>80</v>
      </c>
      <c r="F54" s="10" t="inlineStr">
        <is>
          <t>입고계획</t>
        </is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50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</row>
    <row r="55">
      <c r="A55" s="11" t="inlineStr">
        <is>
          <t>MAT-018</t>
        </is>
      </c>
      <c r="B55" s="11" t="inlineStr">
        <is>
          <t>RF Module</t>
        </is>
      </c>
      <c r="C55" s="11" t="inlineStr">
        <is>
          <t>Supplier N</t>
        </is>
      </c>
      <c r="D55" s="12" t="n">
        <v>65</v>
      </c>
      <c r="E55" s="12" t="n">
        <v>80</v>
      </c>
      <c r="F55" s="13" t="inlineStr">
        <is>
          <t>과부족 계산</t>
        </is>
      </c>
      <c r="G55" s="12">
        <f>G53-$E53-G54</f>
        <v/>
      </c>
      <c r="H55" s="12">
        <f>G55+H53-H54</f>
        <v/>
      </c>
      <c r="I55" s="12">
        <f>H55+I53-I54</f>
        <v/>
      </c>
      <c r="J55" s="12">
        <f>I55+J53-J54</f>
        <v/>
      </c>
      <c r="K55" s="12">
        <f>J55+K53-K54</f>
        <v/>
      </c>
      <c r="L55" s="12">
        <f>K55+L53-L54</f>
        <v/>
      </c>
      <c r="M55" s="12">
        <f>L55+M53-M54</f>
        <v/>
      </c>
      <c r="N55" s="12">
        <f>M55+N53-N54</f>
        <v/>
      </c>
      <c r="O55" s="12">
        <f>N55+O53-O54</f>
        <v/>
      </c>
      <c r="P55" s="12">
        <f>O55+P53-P54</f>
        <v/>
      </c>
      <c r="Q55" s="12">
        <f>P55+Q53-Q54</f>
        <v/>
      </c>
      <c r="R55" s="12">
        <f>Q55+R53-R54</f>
        <v/>
      </c>
    </row>
    <row r="56">
      <c r="A56" t="inlineStr">
        <is>
          <t>MAT-019</t>
        </is>
      </c>
      <c r="B56" t="inlineStr">
        <is>
          <t>Antenna</t>
        </is>
      </c>
      <c r="C56" t="inlineStr">
        <is>
          <t>Supplier O</t>
        </is>
      </c>
      <c r="D56" s="3" t="n">
        <v>30</v>
      </c>
      <c r="E56" s="3" t="n">
        <v>400</v>
      </c>
      <c r="F56" s="9" t="inlineStr">
        <is>
          <t>생산계획</t>
        </is>
      </c>
      <c r="G56" s="3" t="n">
        <v>0</v>
      </c>
      <c r="H56" s="3" t="n">
        <v>200</v>
      </c>
      <c r="I56" s="3" t="n">
        <v>0</v>
      </c>
      <c r="J56" s="3" t="n">
        <v>0</v>
      </c>
      <c r="K56" s="3" t="n">
        <v>260</v>
      </c>
      <c r="L56" s="3" t="n">
        <v>0</v>
      </c>
      <c r="M56" s="3" t="n">
        <v>0</v>
      </c>
      <c r="N56" s="3" t="n">
        <v>300</v>
      </c>
      <c r="O56" s="3" t="n">
        <v>0</v>
      </c>
      <c r="P56" s="3" t="n">
        <v>340</v>
      </c>
      <c r="Q56" s="3" t="n">
        <v>0</v>
      </c>
      <c r="R56" s="3" t="n">
        <v>380</v>
      </c>
    </row>
    <row r="57">
      <c r="A57" t="inlineStr">
        <is>
          <t>MAT-019</t>
        </is>
      </c>
      <c r="B57" t="inlineStr">
        <is>
          <t>Antenna</t>
        </is>
      </c>
      <c r="C57" t="inlineStr">
        <is>
          <t>Supplier O</t>
        </is>
      </c>
      <c r="D57" s="3" t="n">
        <v>30</v>
      </c>
      <c r="E57" s="3" t="n">
        <v>400</v>
      </c>
      <c r="F57" s="10" t="inlineStr">
        <is>
          <t>입고계획</t>
        </is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0</v>
      </c>
      <c r="O57" s="3" t="n">
        <v>0</v>
      </c>
      <c r="P57" s="3" t="n">
        <v>0</v>
      </c>
      <c r="Q57" s="3" t="n">
        <v>0</v>
      </c>
      <c r="R57" s="3" t="n">
        <v>0</v>
      </c>
    </row>
    <row r="58">
      <c r="A58" s="11" t="inlineStr">
        <is>
          <t>MAT-019</t>
        </is>
      </c>
      <c r="B58" s="11" t="inlineStr">
        <is>
          <t>Antenna</t>
        </is>
      </c>
      <c r="C58" s="11" t="inlineStr">
        <is>
          <t>Supplier O</t>
        </is>
      </c>
      <c r="D58" s="12" t="n">
        <v>30</v>
      </c>
      <c r="E58" s="12" t="n">
        <v>400</v>
      </c>
      <c r="F58" s="13" t="inlineStr">
        <is>
          <t>과부족 계산</t>
        </is>
      </c>
      <c r="G58" s="12">
        <f>G56-$E56-G57</f>
        <v/>
      </c>
      <c r="H58" s="12">
        <f>G58+H56-H57</f>
        <v/>
      </c>
      <c r="I58" s="12">
        <f>H58+I56-I57</f>
        <v/>
      </c>
      <c r="J58" s="12">
        <f>I58+J56-J57</f>
        <v/>
      </c>
      <c r="K58" s="12">
        <f>J58+K56-K57</f>
        <v/>
      </c>
      <c r="L58" s="12">
        <f>K58+L56-L57</f>
        <v/>
      </c>
      <c r="M58" s="12">
        <f>L58+M56-M57</f>
        <v/>
      </c>
      <c r="N58" s="12">
        <f>M58+N56-N57</f>
        <v/>
      </c>
      <c r="O58" s="12">
        <f>N58+O56-O57</f>
        <v/>
      </c>
      <c r="P58" s="12">
        <f>O58+P56-P57</f>
        <v/>
      </c>
      <c r="Q58" s="12">
        <f>P58+Q56-Q57</f>
        <v/>
      </c>
      <c r="R58" s="12">
        <f>Q58+R56-R57</f>
        <v/>
      </c>
    </row>
    <row r="59">
      <c r="A59" t="inlineStr">
        <is>
          <t>MAT-020</t>
        </is>
      </c>
      <c r="B59" t="inlineStr">
        <is>
          <t>Battery Cell</t>
        </is>
      </c>
      <c r="C59" t="inlineStr">
        <is>
          <t>Supplier P</t>
        </is>
      </c>
      <c r="D59" s="3" t="n">
        <v>50</v>
      </c>
      <c r="E59" s="3" t="n">
        <v>100</v>
      </c>
      <c r="F59" s="9" t="inlineStr">
        <is>
          <t>생산계획</t>
        </is>
      </c>
      <c r="G59" s="3" t="n">
        <v>0</v>
      </c>
      <c r="H59" s="3" t="n">
        <v>0</v>
      </c>
      <c r="I59" s="3" t="n">
        <v>320</v>
      </c>
      <c r="J59" s="3" t="n">
        <v>0</v>
      </c>
      <c r="K59" s="3" t="n">
        <v>0</v>
      </c>
      <c r="L59" s="3" t="n">
        <v>0</v>
      </c>
      <c r="M59" s="3" t="n">
        <v>400</v>
      </c>
      <c r="N59" s="3" t="n">
        <v>0</v>
      </c>
      <c r="O59" s="3" t="n">
        <v>460</v>
      </c>
      <c r="P59" s="3" t="n">
        <v>0</v>
      </c>
      <c r="Q59" s="3" t="n">
        <v>500</v>
      </c>
      <c r="R59" s="3" t="n">
        <v>0</v>
      </c>
    </row>
    <row r="60">
      <c r="A60" t="inlineStr">
        <is>
          <t>MAT-020</t>
        </is>
      </c>
      <c r="B60" t="inlineStr">
        <is>
          <t>Battery Cell</t>
        </is>
      </c>
      <c r="C60" t="inlineStr">
        <is>
          <t>Supplier P</t>
        </is>
      </c>
      <c r="D60" s="3" t="n">
        <v>50</v>
      </c>
      <c r="E60" s="3" t="n">
        <v>100</v>
      </c>
      <c r="F60" s="10" t="inlineStr">
        <is>
          <t>입고계획</t>
        </is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200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</row>
    <row r="61">
      <c r="A61" s="11" t="inlineStr">
        <is>
          <t>MAT-020</t>
        </is>
      </c>
      <c r="B61" s="11" t="inlineStr">
        <is>
          <t>Battery Cell</t>
        </is>
      </c>
      <c r="C61" s="11" t="inlineStr">
        <is>
          <t>Supplier P</t>
        </is>
      </c>
      <c r="D61" s="12" t="n">
        <v>50</v>
      </c>
      <c r="E61" s="12" t="n">
        <v>100</v>
      </c>
      <c r="F61" s="13" t="inlineStr">
        <is>
          <t>과부족 계산</t>
        </is>
      </c>
      <c r="G61" s="12">
        <f>G59-$E59-G60</f>
        <v/>
      </c>
      <c r="H61" s="12">
        <f>G61+H59-H60</f>
        <v/>
      </c>
      <c r="I61" s="12">
        <f>H61+I59-I60</f>
        <v/>
      </c>
      <c r="J61" s="12">
        <f>I61+J59-J60</f>
        <v/>
      </c>
      <c r="K61" s="12">
        <f>J61+K59-K60</f>
        <v/>
      </c>
      <c r="L61" s="12">
        <f>K61+L59-L60</f>
        <v/>
      </c>
      <c r="M61" s="12">
        <f>L61+M59-M60</f>
        <v/>
      </c>
      <c r="N61" s="12">
        <f>M61+N59-N60</f>
        <v/>
      </c>
      <c r="O61" s="12">
        <f>N61+O59-O60</f>
        <v/>
      </c>
      <c r="P61" s="12">
        <f>O61+P59-P60</f>
        <v/>
      </c>
      <c r="Q61" s="12">
        <f>P61+Q59-Q60</f>
        <v/>
      </c>
      <c r="R61" s="12">
        <f>Q61+R59-R60</f>
        <v/>
      </c>
    </row>
  </sheetData>
  <autoFilter ref="A1:R61"/>
  <conditionalFormatting sqref="G4:R4">
    <cfRule type="cellIs" priority="1" operator="greaterThan" dxfId="0">
      <formula>0</formula>
    </cfRule>
  </conditionalFormatting>
  <conditionalFormatting sqref="G7:R7">
    <cfRule type="cellIs" priority="2" operator="greaterThan" dxfId="0">
      <formula>0</formula>
    </cfRule>
  </conditionalFormatting>
  <conditionalFormatting sqref="G10:R10">
    <cfRule type="cellIs" priority="3" operator="greaterThan" dxfId="0">
      <formula>0</formula>
    </cfRule>
  </conditionalFormatting>
  <conditionalFormatting sqref="G13:R13">
    <cfRule type="cellIs" priority="4" operator="greaterThan" dxfId="0">
      <formula>0</formula>
    </cfRule>
  </conditionalFormatting>
  <conditionalFormatting sqref="G16:R16">
    <cfRule type="cellIs" priority="5" operator="greaterThan" dxfId="0">
      <formula>0</formula>
    </cfRule>
  </conditionalFormatting>
  <conditionalFormatting sqref="G19:R19">
    <cfRule type="cellIs" priority="6" operator="greaterThan" dxfId="0">
      <formula>0</formula>
    </cfRule>
  </conditionalFormatting>
  <conditionalFormatting sqref="G22:R22">
    <cfRule type="cellIs" priority="7" operator="greaterThan" dxfId="0">
      <formula>0</formula>
    </cfRule>
  </conditionalFormatting>
  <conditionalFormatting sqref="G25:R25">
    <cfRule type="cellIs" priority="8" operator="greaterThan" dxfId="0">
      <formula>0</formula>
    </cfRule>
  </conditionalFormatting>
  <conditionalFormatting sqref="G28:R28">
    <cfRule type="cellIs" priority="9" operator="greaterThan" dxfId="0">
      <formula>0</formula>
    </cfRule>
  </conditionalFormatting>
  <conditionalFormatting sqref="G31:R31">
    <cfRule type="cellIs" priority="10" operator="greaterThan" dxfId="0">
      <formula>0</formula>
    </cfRule>
  </conditionalFormatting>
  <conditionalFormatting sqref="G34:R34">
    <cfRule type="cellIs" priority="11" operator="greaterThan" dxfId="0">
      <formula>0</formula>
    </cfRule>
  </conditionalFormatting>
  <conditionalFormatting sqref="G37:R37">
    <cfRule type="cellIs" priority="12" operator="greaterThan" dxfId="0">
      <formula>0</formula>
    </cfRule>
  </conditionalFormatting>
  <conditionalFormatting sqref="G40:R40">
    <cfRule type="cellIs" priority="13" operator="greaterThan" dxfId="0">
      <formula>0</formula>
    </cfRule>
  </conditionalFormatting>
  <conditionalFormatting sqref="G43:R43">
    <cfRule type="cellIs" priority="14" operator="greaterThan" dxfId="0">
      <formula>0</formula>
    </cfRule>
  </conditionalFormatting>
  <conditionalFormatting sqref="G46:R46">
    <cfRule type="cellIs" priority="15" operator="greaterThan" dxfId="0">
      <formula>0</formula>
    </cfRule>
  </conditionalFormatting>
  <conditionalFormatting sqref="G49:R49">
    <cfRule type="cellIs" priority="16" operator="greaterThan" dxfId="0">
      <formula>0</formula>
    </cfRule>
  </conditionalFormatting>
  <conditionalFormatting sqref="G52:R52">
    <cfRule type="cellIs" priority="17" operator="greaterThan" dxfId="0">
      <formula>0</formula>
    </cfRule>
  </conditionalFormatting>
  <conditionalFormatting sqref="G55:R55">
    <cfRule type="cellIs" priority="18" operator="greaterThan" dxfId="0">
      <formula>0</formula>
    </cfRule>
  </conditionalFormatting>
  <conditionalFormatting sqref="G58:R58">
    <cfRule type="cellIs" priority="19" operator="greaterThan" dxfId="0">
      <formula>0</formula>
    </cfRule>
  </conditionalFormatting>
  <conditionalFormatting sqref="G61:R61">
    <cfRule type="cellIs" priority="20" operator="greater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2026-06-24T06:26:30Z</dcterms:created>
  <dcterms:modified xmlns:dcterms="http://purl.org/dc/terms/" xmlns:xsi="http://www.w3.org/2001/XMLSchema-instance" xsi:type="dcterms:W3CDTF">2026-06-24T06:26:30Z</dcterms:modified>
</cp:coreProperties>
</file>